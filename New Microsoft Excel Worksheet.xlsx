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881ba30c7b7d0130/Desktop/"/>
    </mc:Choice>
  </mc:AlternateContent>
  <xr:revisionPtr revIDLastSave="93" documentId="6_{48B3DAF5-33CA-4BBB-852D-E2DB4838E5BC}" xr6:coauthVersionLast="47" xr6:coauthVersionMax="47" xr10:uidLastSave="{B2B33C91-CB22-40AA-8D03-96418839701C}"/>
  <bookViews>
    <workbookView xWindow="-110" yWindow="-110" windowWidth="19420" windowHeight="10300" activeTab="2" xr2:uid="{00000000-000D-0000-FFFF-FFFF00000000}"/>
  </bookViews>
  <sheets>
    <sheet name="RAW DATA" sheetId="1" r:id="rId1"/>
    <sheet name="DUSBIN" sheetId="3" r:id="rId2"/>
    <sheet name="DASH BOARD" sheetId="2" r:id="rId3"/>
    <sheet name="SALES DETAILS" sheetId="6" r:id="rId4"/>
    <sheet name="CITY" sheetId="5" r:id="rId5"/>
  </sheets>
  <definedNames>
    <definedName name="Slicer_Cit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G7" i="1"/>
  <c r="G8" i="1"/>
  <c r="G9" i="1"/>
  <c r="G10" i="1"/>
  <c r="G11" i="1"/>
  <c r="G12" i="1"/>
  <c r="G13" i="1"/>
  <c r="G14" i="1"/>
  <c r="G15" i="1"/>
  <c r="G16" i="1"/>
  <c r="G17" i="1"/>
  <c r="G18" i="1"/>
  <c r="G19" i="1"/>
  <c r="G20" i="1"/>
  <c r="G21" i="1"/>
  <c r="G3" i="1"/>
  <c r="G4" i="1"/>
  <c r="G5" i="1"/>
  <c r="G6" i="1"/>
  <c r="G2" i="1"/>
</calcChain>
</file>

<file path=xl/sharedStrings.xml><?xml version="1.0" encoding="utf-8"?>
<sst xmlns="http://schemas.openxmlformats.org/spreadsheetml/2006/main" count="217" uniqueCount="79">
  <si>
    <t xml:space="preserve">Order_ID </t>
  </si>
  <si>
    <t xml:space="preserve"> Date </t>
  </si>
  <si>
    <t xml:space="preserve"> Product </t>
  </si>
  <si>
    <t xml:space="preserve"> Category </t>
  </si>
  <si>
    <t xml:space="preserve"> Quantity </t>
  </si>
  <si>
    <t xml:space="preserve"> Price </t>
  </si>
  <si>
    <t xml:space="preserve"> Total_Sales </t>
  </si>
  <si>
    <t xml:space="preserve"> Payment_Mode </t>
  </si>
  <si>
    <t xml:space="preserve"> City</t>
  </si>
  <si>
    <t xml:space="preserve">O001 </t>
  </si>
  <si>
    <t xml:space="preserve"> 01-01-2024 </t>
  </si>
  <si>
    <t xml:space="preserve"> Rice       </t>
  </si>
  <si>
    <t xml:space="preserve"> Grocery    </t>
  </si>
  <si>
    <t xml:space="preserve"> Cash </t>
  </si>
  <si>
    <t xml:space="preserve"> Trichy</t>
  </si>
  <si>
    <t xml:space="preserve">O002 </t>
  </si>
  <si>
    <t xml:space="preserve"> 02-01-2024 </t>
  </si>
  <si>
    <t xml:space="preserve"> Milk       </t>
  </si>
  <si>
    <t xml:space="preserve"> Dairy      </t>
  </si>
  <si>
    <t xml:space="preserve"> UPI  </t>
  </si>
  <si>
    <t xml:space="preserve">O003 </t>
  </si>
  <si>
    <t xml:space="preserve"> Bread      </t>
  </si>
  <si>
    <t xml:space="preserve"> Bakery     </t>
  </si>
  <si>
    <t xml:space="preserve"> Card </t>
  </si>
  <si>
    <t xml:space="preserve"> Madurai</t>
  </si>
  <si>
    <t xml:space="preserve">O004 </t>
  </si>
  <si>
    <t xml:space="preserve"> 03-01-2024 </t>
  </si>
  <si>
    <t xml:space="preserve"> Apple      </t>
  </si>
  <si>
    <t xml:space="preserve"> Fruits     </t>
  </si>
  <si>
    <t xml:space="preserve"> Chennai</t>
  </si>
  <si>
    <t xml:space="preserve">O005 </t>
  </si>
  <si>
    <t xml:space="preserve"> Soap       </t>
  </si>
  <si>
    <t xml:space="preserve"> Personal   </t>
  </si>
  <si>
    <t xml:space="preserve">O006 </t>
  </si>
  <si>
    <t xml:space="preserve"> 04-01-2024 </t>
  </si>
  <si>
    <t xml:space="preserve"> Shampoo    </t>
  </si>
  <si>
    <t xml:space="preserve">O007 </t>
  </si>
  <si>
    <t xml:space="preserve"> 05-01-2024 </t>
  </si>
  <si>
    <t xml:space="preserve"> Tomato     </t>
  </si>
  <si>
    <t xml:space="preserve"> Vegetables </t>
  </si>
  <si>
    <t xml:space="preserve">O008 </t>
  </si>
  <si>
    <t xml:space="preserve"> Cheese     </t>
  </si>
  <si>
    <t xml:space="preserve">O009 </t>
  </si>
  <si>
    <t xml:space="preserve"> 06-01-2024 </t>
  </si>
  <si>
    <t xml:space="preserve"> Biscuit    </t>
  </si>
  <si>
    <t xml:space="preserve">O010 </t>
  </si>
  <si>
    <t xml:space="preserve"> Banana     </t>
  </si>
  <si>
    <t xml:space="preserve">O011 </t>
  </si>
  <si>
    <t xml:space="preserve"> 07-01-2024 </t>
  </si>
  <si>
    <t xml:space="preserve"> Sugar      </t>
  </si>
  <si>
    <t xml:space="preserve">O012 </t>
  </si>
  <si>
    <t xml:space="preserve"> Butter     </t>
  </si>
  <si>
    <t xml:space="preserve">O013 </t>
  </si>
  <si>
    <t xml:space="preserve"> 08-01-2024 </t>
  </si>
  <si>
    <t xml:space="preserve"> Facewash   </t>
  </si>
  <si>
    <t xml:space="preserve">O014 </t>
  </si>
  <si>
    <t xml:space="preserve"> Onion      </t>
  </si>
  <si>
    <t xml:space="preserve">O015 </t>
  </si>
  <si>
    <t xml:space="preserve"> 09-01-2024 </t>
  </si>
  <si>
    <t xml:space="preserve"> Cake       </t>
  </si>
  <si>
    <t xml:space="preserve">O016 </t>
  </si>
  <si>
    <t xml:space="preserve"> Orange     </t>
  </si>
  <si>
    <t xml:space="preserve">O017 </t>
  </si>
  <si>
    <t xml:space="preserve"> 10-01-2024 </t>
  </si>
  <si>
    <t xml:space="preserve"> Toothpaste </t>
  </si>
  <si>
    <t xml:space="preserve">O018 </t>
  </si>
  <si>
    <t xml:space="preserve"> Curd       </t>
  </si>
  <si>
    <t xml:space="preserve">O019 </t>
  </si>
  <si>
    <t xml:space="preserve"> 11-01-2024 </t>
  </si>
  <si>
    <t xml:space="preserve"> Wheat      </t>
  </si>
  <si>
    <t xml:space="preserve">O020 </t>
  </si>
  <si>
    <t xml:space="preserve"> Potato     </t>
  </si>
  <si>
    <t xml:space="preserve"> </t>
  </si>
  <si>
    <t>Row Labels</t>
  </si>
  <si>
    <t>Grand Total</t>
  </si>
  <si>
    <t xml:space="preserve">Sum of  Total_Sales </t>
  </si>
  <si>
    <t xml:space="preserve">Count of Order_ID </t>
  </si>
  <si>
    <t xml:space="preserve">Sum of  Quantity </t>
  </si>
  <si>
    <t xml:space="preserve">Count of  Product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</si>
</sst>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2" x14ac:knownFonts="1">
    <font>
      <sz val="11"/>
      <color theme="1"/>
      <name val="Times New Roman"/>
      <family val="2"/>
      <scheme val="minor"/>
    </font>
    <font>
      <sz val="9"/>
      <color rgb="FF0D0D0D"/>
      <name val="Segoe UI Variable Tex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4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vertical="center" wrapText="1"/>
    </xf>
    <xf numFmtId="0" fontId="0" fillId="0" borderId="0" xfId="0" pivotButton="1" applyAlignment="1">
      <alignment horizontal="center"/>
    </xf>
    <xf numFmtId="0" fontId="0" fillId="0" borderId="0" xfId="0" applyNumberFormat="1"/>
  </cellXfs>
  <cellStyles count="1">
    <cellStyle name="Normal" xfId="0" builtinId="0"/>
  </cellStyles>
  <dxfs count="2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0" xr9:uid="{C105CEFF-3FCE-4084-B01C-5CEF03CF6F5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Worksheet.xlsx]DUSBIN!PivotTable1</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17366579177608E-2"/>
          <c:y val="0.37800488480606592"/>
          <c:w val="0.75884470691163608"/>
          <c:h val="0.53774387576552929"/>
        </c:manualLayout>
      </c:layout>
      <c:barChart>
        <c:barDir val="col"/>
        <c:grouping val="clustered"/>
        <c:varyColors val="0"/>
        <c:ser>
          <c:idx val="0"/>
          <c:order val="0"/>
          <c:tx>
            <c:strRef>
              <c:f>DUSBIN!$D$7</c:f>
              <c:strCache>
                <c:ptCount val="1"/>
                <c:pt idx="0">
                  <c:v>Total</c:v>
                </c:pt>
              </c:strCache>
            </c:strRef>
          </c:tx>
          <c:spPr>
            <a:solidFill>
              <a:schemeClr val="accent1"/>
            </a:solidFill>
            <a:ln>
              <a:noFill/>
            </a:ln>
            <a:effectLst/>
          </c:spPr>
          <c:invertIfNegative val="0"/>
          <c:cat>
            <c:strRef>
              <c:f>DUSBIN!$C$8:$C$12</c:f>
              <c:strCache>
                <c:ptCount val="4"/>
                <c:pt idx="0">
                  <c:v> Fruits     </c:v>
                </c:pt>
                <c:pt idx="1">
                  <c:v> Grocery    </c:v>
                </c:pt>
                <c:pt idx="2">
                  <c:v> Personal   </c:v>
                </c:pt>
                <c:pt idx="3">
                  <c:v> Vegetables </c:v>
                </c:pt>
              </c:strCache>
            </c:strRef>
          </c:cat>
          <c:val>
            <c:numRef>
              <c:f>DUSBIN!$D$8:$D$12</c:f>
              <c:numCache>
                <c:formatCode>General</c:formatCode>
                <c:ptCount val="4"/>
                <c:pt idx="0">
                  <c:v>600</c:v>
                </c:pt>
                <c:pt idx="1">
                  <c:v>180</c:v>
                </c:pt>
                <c:pt idx="2">
                  <c:v>270</c:v>
                </c:pt>
                <c:pt idx="3">
                  <c:v>260</c:v>
                </c:pt>
              </c:numCache>
            </c:numRef>
          </c:val>
          <c:extLst>
            <c:ext xmlns:c16="http://schemas.microsoft.com/office/drawing/2014/chart" uri="{C3380CC4-5D6E-409C-BE32-E72D297353CC}">
              <c16:uniqueId val="{00000000-10D4-464E-ACAF-8ACA36A33EF8}"/>
            </c:ext>
          </c:extLst>
        </c:ser>
        <c:dLbls>
          <c:showLegendKey val="0"/>
          <c:showVal val="0"/>
          <c:showCatName val="0"/>
          <c:showSerName val="0"/>
          <c:showPercent val="0"/>
          <c:showBubbleSize val="0"/>
        </c:dLbls>
        <c:gapWidth val="219"/>
        <c:overlap val="-27"/>
        <c:axId val="1269226480"/>
        <c:axId val="1269230320"/>
      </c:barChart>
      <c:catAx>
        <c:axId val="12692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30320"/>
        <c:crosses val="autoZero"/>
        <c:auto val="1"/>
        <c:lblAlgn val="ctr"/>
        <c:lblOffset val="100"/>
        <c:noMultiLvlLbl val="0"/>
      </c:catAx>
      <c:valAx>
        <c:axId val="12692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2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Worksheet.xlsx]DUSBIN!PivotTable7</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Top 5 Products by Sales</a:t>
            </a:r>
            <a:endParaRPr lang="en-US" sz="1400" b="1" i="0" u="none" strike="noStrike" kern="1200" spc="0" baseline="0">
              <a:solidFill>
                <a:schemeClr val="tx1"/>
              </a:solidFill>
            </a:endParaRPr>
          </a:p>
        </c:rich>
      </c:tx>
      <c:layout>
        <c:manualLayout>
          <c:xMode val="edge"/>
          <c:yMode val="edge"/>
          <c:x val="0.29601377952755903"/>
          <c:y val="6.0038276465441819E-2"/>
        </c:manualLayout>
      </c:layout>
      <c:overlay val="0"/>
      <c:spPr>
        <a:solidFill>
          <a:schemeClr val="bg1"/>
        </a:solidFill>
        <a:ln>
          <a:noFill/>
        </a:ln>
        <a:effectLst/>
      </c:spPr>
    </c:title>
    <c:autoTitleDeleted val="0"/>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5"/>
          </a:solidFill>
          <a:ln>
            <a:noFill/>
          </a:ln>
          <a:effectLst/>
        </c:spPr>
      </c:pivotFmt>
      <c:pivotFmt>
        <c:idx val="3"/>
        <c:spPr>
          <a:solidFill>
            <a:schemeClr val="accent3"/>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s>
    <c:plotArea>
      <c:layout>
        <c:manualLayout>
          <c:layoutTarget val="inner"/>
          <c:xMode val="edge"/>
          <c:yMode val="edge"/>
          <c:x val="0.10315288713910763"/>
          <c:y val="0.31233377077865265"/>
          <c:w val="0.75963774851641086"/>
          <c:h val="0.58974216622668374"/>
        </c:manualLayout>
      </c:layout>
      <c:barChart>
        <c:barDir val="col"/>
        <c:grouping val="clustered"/>
        <c:varyColors val="0"/>
        <c:ser>
          <c:idx val="0"/>
          <c:order val="0"/>
          <c:tx>
            <c:strRef>
              <c:f>DUSBIN!$F$6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5905-41D4-AF63-E4BD33014E1E}"/>
              </c:ext>
            </c:extLst>
          </c:dPt>
          <c:dPt>
            <c:idx val="1"/>
            <c:invertIfNegative val="0"/>
            <c:bubble3D val="0"/>
            <c:extLst>
              <c:ext xmlns:c16="http://schemas.microsoft.com/office/drawing/2014/chart" uri="{C3380CC4-5D6E-409C-BE32-E72D297353CC}">
                <c16:uniqueId val="{00000006-5905-41D4-AF63-E4BD33014E1E}"/>
              </c:ext>
            </c:extLst>
          </c:dPt>
          <c:dPt>
            <c:idx val="2"/>
            <c:invertIfNegative val="0"/>
            <c:bubble3D val="0"/>
            <c:extLst>
              <c:ext xmlns:c16="http://schemas.microsoft.com/office/drawing/2014/chart" uri="{C3380CC4-5D6E-409C-BE32-E72D297353CC}">
                <c16:uniqueId val="{00000008-5905-41D4-AF63-E4BD33014E1E}"/>
              </c:ext>
            </c:extLst>
          </c:dPt>
          <c:dPt>
            <c:idx val="3"/>
            <c:invertIfNegative val="0"/>
            <c:bubble3D val="0"/>
            <c:extLst>
              <c:ext xmlns:c16="http://schemas.microsoft.com/office/drawing/2014/chart" uri="{C3380CC4-5D6E-409C-BE32-E72D297353CC}">
                <c16:uniqueId val="{0000000A-5905-41D4-AF63-E4BD33014E1E}"/>
              </c:ext>
            </c:extLst>
          </c:dPt>
          <c:dPt>
            <c:idx val="4"/>
            <c:invertIfNegative val="0"/>
            <c:bubble3D val="0"/>
            <c:extLst>
              <c:ext xmlns:c16="http://schemas.microsoft.com/office/drawing/2014/chart" uri="{C3380CC4-5D6E-409C-BE32-E72D297353CC}">
                <c16:uniqueId val="{0000000C-5905-41D4-AF63-E4BD33014E1E}"/>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DUSBIN!$E$7:$E$12</c:f>
              <c:strCache>
                <c:ptCount val="5"/>
                <c:pt idx="0">
                  <c:v> Apple      </c:v>
                </c:pt>
                <c:pt idx="1">
                  <c:v> Onion      </c:v>
                </c:pt>
                <c:pt idx="2">
                  <c:v> Sugar      </c:v>
                </c:pt>
                <c:pt idx="3">
                  <c:v> Tomato     </c:v>
                </c:pt>
                <c:pt idx="4">
                  <c:v> Toothpaste </c:v>
                </c:pt>
              </c:strCache>
            </c:strRef>
          </c:cat>
          <c:val>
            <c:numRef>
              <c:f>DUSBIN!$F$7:$F$12</c:f>
              <c:numCache>
                <c:formatCode>General</c:formatCode>
                <c:ptCount val="5"/>
                <c:pt idx="0">
                  <c:v>600</c:v>
                </c:pt>
                <c:pt idx="1">
                  <c:v>140</c:v>
                </c:pt>
                <c:pt idx="2">
                  <c:v>180</c:v>
                </c:pt>
                <c:pt idx="3">
                  <c:v>120</c:v>
                </c:pt>
                <c:pt idx="4">
                  <c:v>270</c:v>
                </c:pt>
              </c:numCache>
            </c:numRef>
          </c:val>
          <c:extLst>
            <c:ext xmlns:c16="http://schemas.microsoft.com/office/drawing/2014/chart" uri="{C3380CC4-5D6E-409C-BE32-E72D297353CC}">
              <c16:uniqueId val="{0000000D-5905-41D4-AF63-E4BD33014E1E}"/>
            </c:ext>
          </c:extLst>
        </c:ser>
        <c:dLbls>
          <c:dLblPos val="outEnd"/>
          <c:showLegendKey val="0"/>
          <c:showVal val="1"/>
          <c:showCatName val="0"/>
          <c:showSerName val="0"/>
          <c:showPercent val="0"/>
          <c:showBubbleSize val="0"/>
        </c:dLbls>
        <c:gapWidth val="100"/>
        <c:axId val="445157104"/>
        <c:axId val="445163344"/>
      </c:barChart>
      <c:catAx>
        <c:axId val="445157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45163344"/>
        <c:crosses val="autoZero"/>
        <c:auto val="1"/>
        <c:lblAlgn val="r"/>
        <c:lblOffset val="100"/>
        <c:noMultiLvlLbl val="0"/>
      </c:catAx>
      <c:valAx>
        <c:axId val="445163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445157104"/>
        <c:crosses val="autoZero"/>
        <c:crossBetween val="between"/>
      </c:valAx>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Worksheet.xlsx]DUSBIN!PivotTable10</c:name>
    <c:fmtId val="1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600" b="1" i="0" u="none" strike="noStrike" kern="1200" spc="0" baseline="0">
                <a:solidFill>
                  <a:schemeClr val="tx1"/>
                </a:solidFill>
              </a:rPr>
              <a:t>Payment Mode Usage</a:t>
            </a:r>
            <a:endParaRPr lang="en-US" sz="600" b="1" i="0" u="none" strike="noStrike" kern="1200" spc="0" baseline="0">
              <a:solidFill>
                <a:schemeClr val="tx1"/>
              </a:solidFill>
            </a:endParaRPr>
          </a:p>
        </c:rich>
      </c:tx>
      <c:overlay val="0"/>
      <c:spPr>
        <a:solidFill>
          <a:schemeClr val="bg1"/>
        </a:solid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0555555555555556"/>
              <c:y val="0.12037037037037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2.8238205307213618E-2"/>
              <c:y val="0.19894323613440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0.1444444444444444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2"/>
          </a:solidFill>
          <a:ln w="19050">
            <a:solidFill>
              <a:schemeClr val="lt1"/>
            </a:solidFill>
          </a:ln>
          <a:effectLst/>
        </c:spPr>
        <c:dLbl>
          <c:idx val="0"/>
          <c:layout>
            <c:manualLayout>
              <c:x val="-2.8238205307213618E-2"/>
              <c:y val="0.19894323613440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3"/>
          </a:solidFill>
          <a:ln w="19050">
            <a:solidFill>
              <a:schemeClr val="lt1"/>
            </a:solidFill>
          </a:ln>
          <a:effectLst/>
        </c:spPr>
        <c:dLbl>
          <c:idx val="0"/>
          <c:layout>
            <c:manualLayout>
              <c:x val="-0.1444444444444444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pivotFmt>
    </c:pivotFmts>
    <c:plotArea>
      <c:layout>
        <c:manualLayout>
          <c:layoutTarget val="inner"/>
          <c:xMode val="edge"/>
          <c:yMode val="edge"/>
          <c:x val="0.45458629146766488"/>
          <c:y val="0.32092167426440116"/>
          <c:w val="0.59645808554881152"/>
          <c:h val="0.67762465995133869"/>
        </c:manualLayout>
      </c:layout>
      <c:doughnutChart>
        <c:varyColors val="1"/>
        <c:ser>
          <c:idx val="0"/>
          <c:order val="0"/>
          <c:tx>
            <c:strRef>
              <c:f>DUSBIN!$C$17</c:f>
              <c:strCache>
                <c:ptCount val="1"/>
                <c:pt idx="0">
                  <c:v>Total</c:v>
                </c:pt>
              </c:strCache>
            </c:strRef>
          </c:tx>
          <c:explosion val="10"/>
          <c:dPt>
            <c:idx val="0"/>
            <c:bubble3D val="0"/>
            <c:spPr>
              <a:solidFill>
                <a:schemeClr val="accent3"/>
              </a:solidFill>
              <a:ln w="19050">
                <a:solidFill>
                  <a:schemeClr val="lt1"/>
                </a:solidFill>
              </a:ln>
              <a:effectLst/>
            </c:spPr>
            <c:extLst>
              <c:ext xmlns:c16="http://schemas.microsoft.com/office/drawing/2014/chart" uri="{C3380CC4-5D6E-409C-BE32-E72D297353CC}">
                <c16:uniqueId val="{00000004-BA09-4CED-B533-4A9607E5F5AA}"/>
              </c:ext>
            </c:extLst>
          </c:dPt>
          <c:dPt>
            <c:idx val="1"/>
            <c:bubble3D val="0"/>
            <c:extLst>
              <c:ext xmlns:c16="http://schemas.microsoft.com/office/drawing/2014/chart" uri="{C3380CC4-5D6E-409C-BE32-E72D297353CC}">
                <c16:uniqueId val="{00000006-BA09-4CED-B533-4A9607E5F5AA}"/>
              </c:ext>
            </c:extLst>
          </c:dPt>
          <c:dPt>
            <c:idx val="2"/>
            <c:bubble3D val="0"/>
            <c:extLst>
              <c:ext xmlns:c16="http://schemas.microsoft.com/office/drawing/2014/chart" uri="{C3380CC4-5D6E-409C-BE32-E72D297353CC}">
                <c16:uniqueId val="{00000008-BA09-4CED-B533-4A9607E5F5AA}"/>
              </c:ext>
            </c:extLst>
          </c:dPt>
          <c:dLbls>
            <c:dLbl>
              <c:idx val="0"/>
              <c:layout>
                <c:manualLayout>
                  <c:x val="-0.1444444444444444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A09-4CED-B533-4A9607E5F5A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DUSBIN!$B$18:$B$20</c:f>
              <c:strCache>
                <c:ptCount val="2"/>
                <c:pt idx="0">
                  <c:v> Cash </c:v>
                </c:pt>
                <c:pt idx="1">
                  <c:v> UPI  </c:v>
                </c:pt>
              </c:strCache>
            </c:strRef>
          </c:cat>
          <c:val>
            <c:numRef>
              <c:f>DUSBIN!$C$18:$C$20</c:f>
              <c:numCache>
                <c:formatCode>General</c:formatCode>
                <c:ptCount val="2"/>
                <c:pt idx="0">
                  <c:v>2</c:v>
                </c:pt>
                <c:pt idx="1">
                  <c:v>3</c:v>
                </c:pt>
              </c:numCache>
            </c:numRef>
          </c:val>
          <c:extLst>
            <c:ext xmlns:c16="http://schemas.microsoft.com/office/drawing/2014/chart" uri="{C3380CC4-5D6E-409C-BE32-E72D297353CC}">
              <c16:uniqueId val="{00000009-BA09-4CED-B533-4A9607E5F5AA}"/>
            </c:ext>
          </c:extLst>
        </c:ser>
        <c:dLbls>
          <c:showLegendKey val="0"/>
          <c:showVal val="0"/>
          <c:showCatName val="0"/>
          <c:showSerName val="0"/>
          <c:showPercent val="0"/>
          <c:showBubbleSize val="0"/>
          <c:showLeaderLines val="0"/>
        </c:dLbls>
        <c:firstSliceAng val="0"/>
        <c:holeSize val="50"/>
      </c:doughnutChart>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Worksheet.xlsx]DUSBIN!PivotTable8</c:name>
    <c:fmtId val="1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rPr>
              <a:t>City-wise Sales Performance</a:t>
            </a:r>
          </a:p>
        </c:rich>
      </c:tx>
      <c:layout>
        <c:manualLayout>
          <c:xMode val="edge"/>
          <c:yMode val="edge"/>
          <c:x val="0.21449693788276469"/>
          <c:y val="3.9074803149606305E-2"/>
        </c:manualLayout>
      </c:layout>
      <c:overlay val="0"/>
      <c:spPr>
        <a:solidFill>
          <a:schemeClr val="bg1"/>
        </a:solid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3016113048201"/>
          <c:y val="0.17521656306656788"/>
          <c:w val="0.83625440120408356"/>
          <c:h val="0.62817691866737757"/>
        </c:manualLayout>
      </c:layout>
      <c:barChart>
        <c:barDir val="col"/>
        <c:grouping val="clustered"/>
        <c:varyColors val="0"/>
        <c:ser>
          <c:idx val="0"/>
          <c:order val="0"/>
          <c:tx>
            <c:strRef>
              <c:f>DUSBIN!$I$6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DUSBIN!$H$7:$H$8</c:f>
              <c:strCache>
                <c:ptCount val="1"/>
                <c:pt idx="0">
                  <c:v> Chennai</c:v>
                </c:pt>
              </c:strCache>
            </c:strRef>
          </c:cat>
          <c:val>
            <c:numRef>
              <c:f>DUSBIN!$I$7:$I$8</c:f>
              <c:numCache>
                <c:formatCode>General</c:formatCode>
                <c:ptCount val="1"/>
                <c:pt idx="0">
                  <c:v>1310</c:v>
                </c:pt>
              </c:numCache>
            </c:numRef>
          </c:val>
          <c:extLst>
            <c:ext xmlns:c16="http://schemas.microsoft.com/office/drawing/2014/chart" uri="{C3380CC4-5D6E-409C-BE32-E72D297353CC}">
              <c16:uniqueId val="{00000005-1CBE-4F95-9222-D9EEDCB1E70B}"/>
            </c:ext>
          </c:extLst>
        </c:ser>
        <c:dLbls>
          <c:showLegendKey val="0"/>
          <c:showVal val="0"/>
          <c:showCatName val="0"/>
          <c:showSerName val="0"/>
          <c:showPercent val="0"/>
          <c:showBubbleSize val="0"/>
        </c:dLbls>
        <c:gapWidth val="150"/>
        <c:axId val="316036336"/>
        <c:axId val="316039696"/>
      </c:barChart>
      <c:catAx>
        <c:axId val="316036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6039696"/>
        <c:crosses val="autoZero"/>
        <c:auto val="1"/>
        <c:lblAlgn val="ctr"/>
        <c:lblOffset val="100"/>
        <c:noMultiLvlLbl val="0"/>
      </c:catAx>
      <c:valAx>
        <c:axId val="31603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16036336"/>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Worksheet.xlsx]DUSBIN!PivotTable9</c:name>
    <c:fmtId val="1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rPr>
              <a:t>Quantity Sold by Category</a:t>
            </a:r>
            <a:endParaRPr lang="en-US" sz="1600" b="1" i="0" u="none" strike="noStrike" kern="1200" spc="0" baseline="0">
              <a:solidFill>
                <a:schemeClr val="tx1"/>
              </a:solidFill>
            </a:endParaRPr>
          </a:p>
        </c:rich>
      </c:tx>
      <c:layout>
        <c:manualLayout>
          <c:xMode val="edge"/>
          <c:yMode val="edge"/>
          <c:x val="0.31194444444444447"/>
          <c:y val="8.231262758821814E-2"/>
        </c:manualLayout>
      </c:layout>
      <c:overlay val="0"/>
      <c:spPr>
        <a:solidFill>
          <a:schemeClr val="bg1"/>
        </a:solidFill>
        <a:ln>
          <a:noFill/>
        </a:ln>
        <a:effectLst/>
      </c:spPr>
    </c:title>
    <c:autoTitleDeleted val="0"/>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0040994781258E-2"/>
          <c:y val="0.18130846126823716"/>
          <c:w val="0.90286351706036749"/>
          <c:h val="0.74776612746626447"/>
        </c:manualLayout>
      </c:layout>
      <c:barChart>
        <c:barDir val="col"/>
        <c:grouping val="clustered"/>
        <c:varyColors val="0"/>
        <c:ser>
          <c:idx val="0"/>
          <c:order val="0"/>
          <c:tx>
            <c:strRef>
              <c:f>DUSBIN!$G$15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errBars>
            <c:errBarType val="both"/>
            <c:errValType val="stdErr"/>
            <c:noEndCap val="0"/>
            <c:spPr>
              <a:noFill/>
              <a:ln w="9525" cap="flat" cmpd="sng" algn="ctr">
                <a:solidFill>
                  <a:schemeClr val="tx1">
                    <a:lumMod val="65000"/>
                    <a:lumOff val="35000"/>
                  </a:schemeClr>
                </a:solidFill>
                <a:round/>
              </a:ln>
              <a:effectLst/>
            </c:spPr>
          </c:errBars>
          <c:cat>
            <c:strRef>
              <c:f>DUSBIN!$F$16:$F$20</c:f>
              <c:strCache>
                <c:ptCount val="4"/>
                <c:pt idx="0">
                  <c:v> Fruits     </c:v>
                </c:pt>
                <c:pt idx="1">
                  <c:v> Grocery    </c:v>
                </c:pt>
                <c:pt idx="2">
                  <c:v> Personal   </c:v>
                </c:pt>
                <c:pt idx="3">
                  <c:v> Vegetables </c:v>
                </c:pt>
              </c:strCache>
            </c:strRef>
          </c:cat>
          <c:val>
            <c:numRef>
              <c:f>DUSBIN!$G$16:$G$20</c:f>
              <c:numCache>
                <c:formatCode>General</c:formatCode>
                <c:ptCount val="4"/>
                <c:pt idx="0">
                  <c:v>4</c:v>
                </c:pt>
                <c:pt idx="1">
                  <c:v>2</c:v>
                </c:pt>
                <c:pt idx="2">
                  <c:v>3</c:v>
                </c:pt>
                <c:pt idx="3">
                  <c:v>7</c:v>
                </c:pt>
              </c:numCache>
            </c:numRef>
          </c:val>
          <c:extLst>
            <c:ext xmlns:c16="http://schemas.microsoft.com/office/drawing/2014/chart" uri="{C3380CC4-5D6E-409C-BE32-E72D297353CC}">
              <c16:uniqueId val="{00000003-4B16-4BB9-B32E-6C38E194A91C}"/>
            </c:ext>
          </c:extLst>
        </c:ser>
        <c:dLbls>
          <c:showLegendKey val="0"/>
          <c:showVal val="1"/>
          <c:showCatName val="0"/>
          <c:showSerName val="0"/>
          <c:showPercent val="0"/>
          <c:showBubbleSize val="0"/>
        </c:dLbls>
        <c:gapWidth val="219"/>
        <c:axId val="259141503"/>
        <c:axId val="259134303"/>
      </c:barChart>
      <c:catAx>
        <c:axId val="259141503"/>
        <c:scaling>
          <c:orientation val="minMax"/>
        </c:scaling>
        <c:delete val="1"/>
        <c:axPos val="b"/>
        <c:numFmt formatCode="General" sourceLinked="1"/>
        <c:majorTickMark val="out"/>
        <c:minorTickMark val="none"/>
        <c:tickLblPos val="nextTo"/>
        <c:crossAx val="259134303"/>
        <c:crosses val="autoZero"/>
        <c:auto val="1"/>
        <c:lblAlgn val="ctr"/>
        <c:lblOffset val="100"/>
        <c:noMultiLvlLbl val="0"/>
      </c:catAx>
      <c:valAx>
        <c:axId val="25913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59141503"/>
        <c:crosses val="autoZero"/>
        <c:crossBetween val="between"/>
      </c:valAx>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Worksheet.xlsx]DUSBIN!PivotTable1</c:name>
    <c:fmtId val="37"/>
  </c:pivotSource>
  <c:chart>
    <c:title>
      <c:tx>
        <c:rich>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r>
              <a:rPr lang="en-IN" sz="2400" b="1" i="0" u="none" strike="noStrike" baseline="0">
                <a:solidFill>
                  <a:schemeClr val="tx1"/>
                </a:solidFill>
              </a:rPr>
              <a:t>Category-wise Sales</a:t>
            </a:r>
            <a:endParaRPr lang="en-IN" sz="2400" b="1">
              <a:solidFill>
                <a:schemeClr val="tx1"/>
              </a:solidFill>
            </a:endParaRPr>
          </a:p>
        </c:rich>
      </c:tx>
      <c:layout>
        <c:manualLayout>
          <c:xMode val="edge"/>
          <c:yMode val="edge"/>
          <c:x val="0.33998670296500982"/>
          <c:y val="6.480240635404258E-2"/>
        </c:manualLayout>
      </c:layout>
      <c:overlay val="0"/>
      <c:spPr>
        <a:solidFill>
          <a:sysClr val="window" lastClr="FFFFFF"/>
        </a:solidFill>
        <a:ln>
          <a:noFill/>
        </a:ln>
        <a:effectLst/>
      </c:spPr>
      <c:txPr>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8503775622225"/>
          <c:y val="6.0243076416637863E-2"/>
          <c:w val="0.87753018372703417"/>
          <c:h val="0.74132066761671722"/>
        </c:manualLayout>
      </c:layout>
      <c:barChart>
        <c:barDir val="col"/>
        <c:grouping val="stacked"/>
        <c:varyColors val="0"/>
        <c:ser>
          <c:idx val="0"/>
          <c:order val="0"/>
          <c:tx>
            <c:strRef>
              <c:f>DUSBIN!$D$7</c:f>
              <c:strCache>
                <c:ptCount val="1"/>
                <c:pt idx="0">
                  <c:v>Total</c:v>
                </c:pt>
              </c:strCache>
            </c:strRef>
          </c:tx>
          <c:spPr>
            <a:solidFill>
              <a:schemeClr val="accent1"/>
            </a:solidFill>
            <a:ln>
              <a:noFill/>
            </a:ln>
            <a:effectLst/>
          </c:spPr>
          <c:invertIfNegative val="0"/>
          <c:cat>
            <c:strRef>
              <c:f>DUSBIN!$C$8:$C$12</c:f>
              <c:strCache>
                <c:ptCount val="4"/>
                <c:pt idx="0">
                  <c:v> Fruits     </c:v>
                </c:pt>
                <c:pt idx="1">
                  <c:v> Grocery    </c:v>
                </c:pt>
                <c:pt idx="2">
                  <c:v> Personal   </c:v>
                </c:pt>
                <c:pt idx="3">
                  <c:v> Vegetables </c:v>
                </c:pt>
              </c:strCache>
            </c:strRef>
          </c:cat>
          <c:val>
            <c:numRef>
              <c:f>DUSBIN!$D$8:$D$12</c:f>
              <c:numCache>
                <c:formatCode>General</c:formatCode>
                <c:ptCount val="4"/>
                <c:pt idx="0">
                  <c:v>600</c:v>
                </c:pt>
                <c:pt idx="1">
                  <c:v>180</c:v>
                </c:pt>
                <c:pt idx="2">
                  <c:v>270</c:v>
                </c:pt>
                <c:pt idx="3">
                  <c:v>260</c:v>
                </c:pt>
              </c:numCache>
            </c:numRef>
          </c:val>
          <c:extLst>
            <c:ext xmlns:c16="http://schemas.microsoft.com/office/drawing/2014/chart" uri="{C3380CC4-5D6E-409C-BE32-E72D297353CC}">
              <c16:uniqueId val="{00000000-1786-4E9A-916B-B75A35C6A32C}"/>
            </c:ext>
          </c:extLst>
        </c:ser>
        <c:dLbls>
          <c:showLegendKey val="0"/>
          <c:showVal val="0"/>
          <c:showCatName val="0"/>
          <c:showSerName val="0"/>
          <c:showPercent val="0"/>
          <c:showBubbleSize val="0"/>
        </c:dLbls>
        <c:gapWidth val="150"/>
        <c:overlap val="100"/>
        <c:axId val="2109640640"/>
        <c:axId val="2109638240"/>
      </c:barChart>
      <c:catAx>
        <c:axId val="210964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109638240"/>
        <c:crosses val="autoZero"/>
        <c:auto val="1"/>
        <c:lblAlgn val="ctr"/>
        <c:lblOffset val="100"/>
        <c:noMultiLvlLbl val="0"/>
      </c:catAx>
      <c:valAx>
        <c:axId val="2109638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10964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Worksheet.xlsx]DUSBIN!PivotTable10</c:name>
    <c:fmtId val="1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i="0" u="none" strike="noStrike" kern="1200" spc="0" baseline="0">
                <a:solidFill>
                  <a:schemeClr val="tx1"/>
                </a:solidFill>
              </a:rPr>
              <a:t>Payment Mode Usage</a:t>
            </a:r>
            <a:endParaRPr lang="en-US" sz="2400" b="1" i="0" u="none" strike="noStrike" kern="1200" spc="0" baseline="0">
              <a:solidFill>
                <a:schemeClr val="tx1"/>
              </a:solidFill>
            </a:endParaRPr>
          </a:p>
        </c:rich>
      </c:tx>
      <c:overlay val="0"/>
      <c:spPr>
        <a:solidFill>
          <a:schemeClr val="bg1"/>
        </a:solid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0555555555555556"/>
              <c:y val="0.12037037037037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2.8238205307213618E-2"/>
              <c:y val="0.19894323613440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0.1444444444444444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dLbl>
          <c:idx val="0"/>
          <c:layout>
            <c:manualLayout>
              <c:x val="0.10555555555555556"/>
              <c:y val="0.12037037037037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2"/>
          </a:solidFill>
          <a:ln w="19050">
            <a:solidFill>
              <a:schemeClr val="lt1"/>
            </a:solidFill>
          </a:ln>
          <a:effectLst/>
        </c:spPr>
        <c:dLbl>
          <c:idx val="0"/>
          <c:layout>
            <c:manualLayout>
              <c:x val="-2.8238205307213618E-2"/>
              <c:y val="0.19894323613440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3"/>
          </a:solidFill>
          <a:ln w="19050">
            <a:solidFill>
              <a:schemeClr val="lt1"/>
            </a:solidFill>
          </a:ln>
          <a:effectLst/>
        </c:spPr>
        <c:dLbl>
          <c:idx val="0"/>
          <c:layout>
            <c:manualLayout>
              <c:x val="-0.1444444444444444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dLbl>
          <c:idx val="0"/>
          <c:layout>
            <c:manualLayout>
              <c:x val="0.10555555555555556"/>
              <c:y val="0.120370370370370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2"/>
          </a:solidFill>
          <a:ln w="19050">
            <a:solidFill>
              <a:schemeClr val="lt1"/>
            </a:solidFill>
          </a:ln>
          <a:effectLst/>
        </c:spPr>
        <c:dLbl>
          <c:idx val="0"/>
          <c:layout>
            <c:manualLayout>
              <c:x val="-2.8238205307213618E-2"/>
              <c:y val="0.19894323613440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3"/>
          </a:solidFill>
          <a:ln w="19050">
            <a:solidFill>
              <a:schemeClr val="lt1"/>
            </a:solidFill>
          </a:ln>
          <a:effectLst/>
        </c:spPr>
        <c:dLbl>
          <c:idx val="0"/>
          <c:layout>
            <c:manualLayout>
              <c:x val="-0.1444444444444444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marker>
          <c:symbol val="none"/>
        </c:marker>
        <c:dLbl>
          <c:idx val="0"/>
          <c:spPr>
            <a:solidFill>
              <a:sysClr val="window" lastClr="FFFFFF"/>
            </a:solidFill>
            <a:ln>
              <a:solidFill>
                <a:sysClr val="windowText" lastClr="000000">
                  <a:lumMod val="65000"/>
                  <a:lumOff val="35000"/>
                </a:sysClr>
              </a:solidFill>
            </a:ln>
            <a:effectLst/>
          </c:spPr>
          <c:txPr>
            <a:bodyPr wrap="square" lIns="72000" tIns="19050" rIns="38100" bIns="19050" anchor="b" anchorCtr="0">
              <a:spAutoFit/>
            </a:bodyPr>
            <a:lstStyle/>
            <a:p>
              <a:pPr>
                <a:defRPr sz="1800" b="1"/>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s>
    <c:plotArea>
      <c:layout>
        <c:manualLayout>
          <c:layoutTarget val="inner"/>
          <c:xMode val="edge"/>
          <c:yMode val="edge"/>
          <c:x val="0.28401889763779525"/>
          <c:y val="0.19298357204745281"/>
          <c:w val="0.5312420697412823"/>
          <c:h val="0.65303925280374209"/>
        </c:manualLayout>
      </c:layout>
      <c:doughnutChart>
        <c:varyColors val="1"/>
        <c:ser>
          <c:idx val="0"/>
          <c:order val="0"/>
          <c:tx>
            <c:strRef>
              <c:f>DUSBIN!$C$17</c:f>
              <c:strCache>
                <c:ptCount val="1"/>
                <c:pt idx="0">
                  <c:v>Total</c:v>
                </c:pt>
              </c:strCache>
            </c:strRef>
          </c:tx>
          <c:dPt>
            <c:idx val="0"/>
            <c:bubble3D val="0"/>
            <c:explosion val="8"/>
            <c:spPr>
              <a:solidFill>
                <a:schemeClr val="accent2"/>
              </a:solidFill>
              <a:ln w="19050">
                <a:solidFill>
                  <a:schemeClr val="lt1"/>
                </a:solidFill>
              </a:ln>
              <a:effectLst/>
            </c:spPr>
            <c:extLst>
              <c:ext xmlns:c16="http://schemas.microsoft.com/office/drawing/2014/chart" uri="{C3380CC4-5D6E-409C-BE32-E72D297353CC}">
                <c16:uniqueId val="{00000001-55C0-4FA4-BB4B-47276D414EC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5C0-4FA4-BB4B-47276D414EC2}"/>
              </c:ext>
            </c:extLst>
          </c:dPt>
          <c:dPt>
            <c:idx val="2"/>
            <c:bubble3D val="0"/>
            <c:extLst>
              <c:ext xmlns:c16="http://schemas.microsoft.com/office/drawing/2014/chart" uri="{C3380CC4-5D6E-409C-BE32-E72D297353CC}">
                <c16:uniqueId val="{00000005-55C0-4FA4-BB4B-47276D414EC2}"/>
              </c:ext>
            </c:extLst>
          </c:dPt>
          <c:dLbls>
            <c:spPr>
              <a:solidFill>
                <a:sysClr val="window" lastClr="FFFFFF"/>
              </a:solidFill>
              <a:ln>
                <a:solidFill>
                  <a:sysClr val="windowText" lastClr="000000">
                    <a:lumMod val="65000"/>
                    <a:lumOff val="35000"/>
                  </a:sysClr>
                </a:solidFill>
              </a:ln>
              <a:effectLst/>
            </c:spPr>
            <c:txPr>
              <a:bodyPr wrap="square" lIns="72000" tIns="19050" rIns="38100" bIns="19050" anchor="b" anchorCtr="0">
                <a:spAutoFit/>
              </a:bodyPr>
              <a:lstStyle/>
              <a:p>
                <a:pPr>
                  <a:defRPr sz="1800" b="1"/>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DUSBIN!$B$18:$B$20</c:f>
              <c:strCache>
                <c:ptCount val="2"/>
                <c:pt idx="0">
                  <c:v> Cash </c:v>
                </c:pt>
                <c:pt idx="1">
                  <c:v> UPI  </c:v>
                </c:pt>
              </c:strCache>
            </c:strRef>
          </c:cat>
          <c:val>
            <c:numRef>
              <c:f>DUSBIN!$C$18:$C$20</c:f>
              <c:numCache>
                <c:formatCode>General</c:formatCode>
                <c:ptCount val="2"/>
                <c:pt idx="0">
                  <c:v>2</c:v>
                </c:pt>
                <c:pt idx="1">
                  <c:v>3</c:v>
                </c:pt>
              </c:numCache>
            </c:numRef>
          </c:val>
          <c:extLst>
            <c:ext xmlns:c16="http://schemas.microsoft.com/office/drawing/2014/chart" uri="{C3380CC4-5D6E-409C-BE32-E72D297353CC}">
              <c16:uniqueId val="{00000006-55C0-4FA4-BB4B-47276D414EC2}"/>
            </c:ext>
          </c:extLst>
        </c:ser>
        <c:dLbls>
          <c:showLegendKey val="0"/>
          <c:showVal val="0"/>
          <c:showCatName val="0"/>
          <c:showSerName val="0"/>
          <c:showPercent val="0"/>
          <c:showBubbleSize val="0"/>
          <c:showLeaderLines val="0"/>
        </c:dLbls>
        <c:firstSliceAng val="0"/>
        <c:holeSize val="50"/>
      </c:doughnutChart>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Worksheet.xlsx]DUSBIN!PivotTable7</c:name>
    <c:fmtId val="18"/>
  </c:pivotSource>
  <c:chart>
    <c:title>
      <c:tx>
        <c:rich>
          <a:bodyPr rot="0" spcFirstLastPara="1" vertOverflow="ellipsis" vert="horz" wrap="square" anchor="ctr" anchorCtr="1"/>
          <a:lstStyle/>
          <a:p>
            <a:pPr algn="r">
              <a:defRPr sz="2400" b="0" i="0" u="none" strike="noStrike" kern="1200" spc="0" baseline="0">
                <a:solidFill>
                  <a:schemeClr val="tx1">
                    <a:lumMod val="65000"/>
                    <a:lumOff val="35000"/>
                  </a:schemeClr>
                </a:solidFill>
                <a:latin typeface="+mn-lt"/>
                <a:ea typeface="+mn-ea"/>
                <a:cs typeface="+mn-cs"/>
              </a:defRPr>
            </a:pPr>
            <a:r>
              <a:rPr lang="en-IN" sz="2400" b="1" i="0" u="none" strike="noStrike" kern="1200" spc="0" baseline="0">
                <a:solidFill>
                  <a:schemeClr val="tx1"/>
                </a:solidFill>
              </a:rPr>
              <a:t>Top 5 Products by Sales</a:t>
            </a:r>
            <a:endParaRPr lang="en-US" sz="2400" b="1" i="0" u="none" strike="noStrike" kern="1200" spc="0" baseline="0">
              <a:solidFill>
                <a:schemeClr val="tx1"/>
              </a:solidFill>
            </a:endParaRPr>
          </a:p>
        </c:rich>
      </c:tx>
      <c:layout>
        <c:manualLayout>
          <c:xMode val="edge"/>
          <c:yMode val="edge"/>
          <c:x val="0.35509071884586008"/>
          <c:y val="6.3426324961979308E-2"/>
        </c:manualLayout>
      </c:layout>
      <c:overlay val="0"/>
      <c:spPr>
        <a:solidFill>
          <a:schemeClr val="bg1"/>
        </a:solidFill>
        <a:ln>
          <a:noFill/>
        </a:ln>
        <a:effectLst/>
      </c:spPr>
    </c:title>
    <c:autoTitleDeleted val="0"/>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5"/>
          </a:solidFill>
          <a:ln>
            <a:noFill/>
          </a:ln>
          <a:effectLst/>
        </c:spPr>
      </c:pivotFmt>
      <c:pivotFmt>
        <c:idx val="3"/>
        <c:spPr>
          <a:solidFill>
            <a:schemeClr val="accent3"/>
          </a:solidFill>
          <a:ln>
            <a:noFill/>
          </a:ln>
          <a:effectLst/>
        </c:spPr>
      </c:pivotFmt>
      <c:pivotFmt>
        <c:idx val="4"/>
        <c:spPr>
          <a:solidFill>
            <a:schemeClr val="accent2"/>
          </a:solidFill>
          <a:ln>
            <a:noFill/>
          </a:ln>
          <a:effectLst/>
        </c:spPr>
      </c:pivotFmt>
      <c:pivotFmt>
        <c:idx val="5"/>
        <c:spPr>
          <a:solidFill>
            <a:schemeClr val="accent1"/>
          </a:solidFill>
          <a:ln>
            <a:noFill/>
          </a:ln>
          <a:effectLst/>
        </c:spPr>
      </c:pivotFmt>
      <c:pivotFmt>
        <c:idx val="6"/>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93064352579835"/>
          <c:y val="0.2197411884084336"/>
          <c:w val="0.75963774851641086"/>
          <c:h val="0.58974216622668374"/>
        </c:manualLayout>
      </c:layout>
      <c:barChart>
        <c:barDir val="col"/>
        <c:grouping val="clustered"/>
        <c:varyColors val="0"/>
        <c:ser>
          <c:idx val="0"/>
          <c:order val="0"/>
          <c:tx>
            <c:strRef>
              <c:f>DUSBIN!$F$6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2CF-4435-B249-271A9FA8B502}"/>
              </c:ext>
            </c:extLst>
          </c:dPt>
          <c:dPt>
            <c:idx val="1"/>
            <c:invertIfNegative val="0"/>
            <c:bubble3D val="0"/>
            <c:extLst>
              <c:ext xmlns:c16="http://schemas.microsoft.com/office/drawing/2014/chart" uri="{C3380CC4-5D6E-409C-BE32-E72D297353CC}">
                <c16:uniqueId val="{00000001-02CF-4435-B249-271A9FA8B502}"/>
              </c:ext>
            </c:extLst>
          </c:dPt>
          <c:dPt>
            <c:idx val="2"/>
            <c:invertIfNegative val="0"/>
            <c:bubble3D val="0"/>
            <c:extLst>
              <c:ext xmlns:c16="http://schemas.microsoft.com/office/drawing/2014/chart" uri="{C3380CC4-5D6E-409C-BE32-E72D297353CC}">
                <c16:uniqueId val="{00000002-02CF-4435-B249-271A9FA8B502}"/>
              </c:ext>
            </c:extLst>
          </c:dPt>
          <c:dPt>
            <c:idx val="3"/>
            <c:invertIfNegative val="0"/>
            <c:bubble3D val="0"/>
            <c:extLst>
              <c:ext xmlns:c16="http://schemas.microsoft.com/office/drawing/2014/chart" uri="{C3380CC4-5D6E-409C-BE32-E72D297353CC}">
                <c16:uniqueId val="{00000003-02CF-4435-B249-271A9FA8B502}"/>
              </c:ext>
            </c:extLst>
          </c:dPt>
          <c:dPt>
            <c:idx val="4"/>
            <c:invertIfNegative val="0"/>
            <c:bubble3D val="0"/>
            <c:extLst>
              <c:ext xmlns:c16="http://schemas.microsoft.com/office/drawing/2014/chart" uri="{C3380CC4-5D6E-409C-BE32-E72D297353CC}">
                <c16:uniqueId val="{00000004-02CF-4435-B249-271A9FA8B502}"/>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DUSBIN!$E$7:$E$12</c:f>
              <c:strCache>
                <c:ptCount val="5"/>
                <c:pt idx="0">
                  <c:v> Apple      </c:v>
                </c:pt>
                <c:pt idx="1">
                  <c:v> Onion      </c:v>
                </c:pt>
                <c:pt idx="2">
                  <c:v> Sugar      </c:v>
                </c:pt>
                <c:pt idx="3">
                  <c:v> Tomato     </c:v>
                </c:pt>
                <c:pt idx="4">
                  <c:v> Toothpaste </c:v>
                </c:pt>
              </c:strCache>
            </c:strRef>
          </c:cat>
          <c:val>
            <c:numRef>
              <c:f>DUSBIN!$F$7:$F$12</c:f>
              <c:numCache>
                <c:formatCode>General</c:formatCode>
                <c:ptCount val="5"/>
                <c:pt idx="0">
                  <c:v>600</c:v>
                </c:pt>
                <c:pt idx="1">
                  <c:v>140</c:v>
                </c:pt>
                <c:pt idx="2">
                  <c:v>180</c:v>
                </c:pt>
                <c:pt idx="3">
                  <c:v>120</c:v>
                </c:pt>
                <c:pt idx="4">
                  <c:v>270</c:v>
                </c:pt>
              </c:numCache>
            </c:numRef>
          </c:val>
          <c:extLst>
            <c:ext xmlns:c16="http://schemas.microsoft.com/office/drawing/2014/chart" uri="{C3380CC4-5D6E-409C-BE32-E72D297353CC}">
              <c16:uniqueId val="{00000005-02CF-4435-B249-271A9FA8B502}"/>
            </c:ext>
          </c:extLst>
        </c:ser>
        <c:dLbls>
          <c:dLblPos val="outEnd"/>
          <c:showLegendKey val="0"/>
          <c:showVal val="1"/>
          <c:showCatName val="0"/>
          <c:showSerName val="0"/>
          <c:showPercent val="0"/>
          <c:showBubbleSize val="0"/>
        </c:dLbls>
        <c:gapWidth val="100"/>
        <c:axId val="445157104"/>
        <c:axId val="445163344"/>
      </c:barChart>
      <c:catAx>
        <c:axId val="445157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445163344"/>
        <c:crosses val="autoZero"/>
        <c:auto val="1"/>
        <c:lblAlgn val="r"/>
        <c:lblOffset val="100"/>
        <c:noMultiLvlLbl val="0"/>
      </c:catAx>
      <c:valAx>
        <c:axId val="445163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44515710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Worksheet.xlsx]DUSBIN!PivotTable8</c:name>
    <c:fmtId val="2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rPr>
              <a:t>City-wise Sales Performance</a:t>
            </a:r>
          </a:p>
        </c:rich>
      </c:tx>
      <c:layout>
        <c:manualLayout>
          <c:xMode val="edge"/>
          <c:yMode val="edge"/>
          <c:x val="0.21449693788276469"/>
          <c:y val="3.9074803149606305E-2"/>
        </c:manualLayout>
      </c:layout>
      <c:overlay val="0"/>
      <c:spPr>
        <a:solidFill>
          <a:schemeClr val="bg1"/>
        </a:solid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7467191601051"/>
          <c:y val="0.23540172061825604"/>
          <c:w val="0.83625440120408356"/>
          <c:h val="0.62817691866737757"/>
        </c:manualLayout>
      </c:layout>
      <c:barChart>
        <c:barDir val="col"/>
        <c:grouping val="clustered"/>
        <c:varyColors val="0"/>
        <c:ser>
          <c:idx val="0"/>
          <c:order val="0"/>
          <c:tx>
            <c:strRef>
              <c:f>DUSBIN!$I$6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DUSBIN!$H$7:$H$8</c:f>
              <c:strCache>
                <c:ptCount val="1"/>
                <c:pt idx="0">
                  <c:v> Chennai</c:v>
                </c:pt>
              </c:strCache>
            </c:strRef>
          </c:cat>
          <c:val>
            <c:numRef>
              <c:f>DUSBIN!$I$7:$I$8</c:f>
              <c:numCache>
                <c:formatCode>General</c:formatCode>
                <c:ptCount val="1"/>
                <c:pt idx="0">
                  <c:v>1310</c:v>
                </c:pt>
              </c:numCache>
            </c:numRef>
          </c:val>
          <c:extLst>
            <c:ext xmlns:c16="http://schemas.microsoft.com/office/drawing/2014/chart" uri="{C3380CC4-5D6E-409C-BE32-E72D297353CC}">
              <c16:uniqueId val="{00000000-9CAD-4F97-AC91-831A1456F0BD}"/>
            </c:ext>
          </c:extLst>
        </c:ser>
        <c:dLbls>
          <c:showLegendKey val="0"/>
          <c:showVal val="0"/>
          <c:showCatName val="0"/>
          <c:showSerName val="0"/>
          <c:showPercent val="0"/>
          <c:showBubbleSize val="0"/>
        </c:dLbls>
        <c:gapWidth val="150"/>
        <c:axId val="316036336"/>
        <c:axId val="316039696"/>
      </c:barChart>
      <c:catAx>
        <c:axId val="316036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316039696"/>
        <c:crosses val="autoZero"/>
        <c:auto val="1"/>
        <c:lblAlgn val="ctr"/>
        <c:lblOffset val="100"/>
        <c:noMultiLvlLbl val="0"/>
      </c:catAx>
      <c:valAx>
        <c:axId val="31603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crossAx val="316036336"/>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Worksheet.xlsx]DUSBIN!PivotTable9</c:name>
    <c:fmtId val="1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rPr>
              <a:t>Quantity Sold by Category</a:t>
            </a:r>
            <a:endParaRPr lang="en-US" sz="1600" b="1" i="0" u="none" strike="noStrike" kern="1200" spc="0" baseline="0">
              <a:solidFill>
                <a:schemeClr val="tx1"/>
              </a:solidFill>
            </a:endParaRPr>
          </a:p>
        </c:rich>
      </c:tx>
      <c:layout>
        <c:manualLayout>
          <c:xMode val="edge"/>
          <c:yMode val="edge"/>
          <c:x val="0.31194444444444447"/>
          <c:y val="8.231262758821814E-2"/>
        </c:manualLayout>
      </c:layout>
      <c:overlay val="0"/>
      <c:spPr>
        <a:solidFill>
          <a:schemeClr val="bg1"/>
        </a:solidFill>
        <a:ln>
          <a:noFill/>
        </a:ln>
        <a:effectLst/>
      </c:spPr>
    </c:title>
    <c:autoTitleDeleted val="0"/>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55905511811013E-2"/>
          <c:y val="0.21834536307961505"/>
          <c:w val="0.90286351706036749"/>
          <c:h val="0.74776612746626447"/>
        </c:manualLayout>
      </c:layout>
      <c:barChart>
        <c:barDir val="col"/>
        <c:grouping val="clustered"/>
        <c:varyColors val="0"/>
        <c:ser>
          <c:idx val="0"/>
          <c:order val="0"/>
          <c:tx>
            <c:strRef>
              <c:f>DUSBIN!$G$15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errBars>
            <c:errBarType val="both"/>
            <c:errValType val="stdErr"/>
            <c:noEndCap val="0"/>
            <c:spPr>
              <a:noFill/>
              <a:ln w="9525" cap="flat" cmpd="sng" algn="ctr">
                <a:solidFill>
                  <a:schemeClr val="tx1">
                    <a:lumMod val="65000"/>
                    <a:lumOff val="35000"/>
                  </a:schemeClr>
                </a:solidFill>
                <a:round/>
              </a:ln>
              <a:effectLst/>
            </c:spPr>
          </c:errBars>
          <c:cat>
            <c:strRef>
              <c:f>DUSBIN!$F$16:$F$20</c:f>
              <c:strCache>
                <c:ptCount val="4"/>
                <c:pt idx="0">
                  <c:v> Fruits     </c:v>
                </c:pt>
                <c:pt idx="1">
                  <c:v> Grocery    </c:v>
                </c:pt>
                <c:pt idx="2">
                  <c:v> Personal   </c:v>
                </c:pt>
                <c:pt idx="3">
                  <c:v> Vegetables </c:v>
                </c:pt>
              </c:strCache>
            </c:strRef>
          </c:cat>
          <c:val>
            <c:numRef>
              <c:f>DUSBIN!$G$16:$G$20</c:f>
              <c:numCache>
                <c:formatCode>General</c:formatCode>
                <c:ptCount val="4"/>
                <c:pt idx="0">
                  <c:v>4</c:v>
                </c:pt>
                <c:pt idx="1">
                  <c:v>2</c:v>
                </c:pt>
                <c:pt idx="2">
                  <c:v>3</c:v>
                </c:pt>
                <c:pt idx="3">
                  <c:v>7</c:v>
                </c:pt>
              </c:numCache>
            </c:numRef>
          </c:val>
          <c:extLst>
            <c:ext xmlns:c16="http://schemas.microsoft.com/office/drawing/2014/chart" uri="{C3380CC4-5D6E-409C-BE32-E72D297353CC}">
              <c16:uniqueId val="{00000000-3418-47B2-ABF5-E3ADF83AF874}"/>
            </c:ext>
          </c:extLst>
        </c:ser>
        <c:dLbls>
          <c:showLegendKey val="0"/>
          <c:showVal val="1"/>
          <c:showCatName val="0"/>
          <c:showSerName val="0"/>
          <c:showPercent val="0"/>
          <c:showBubbleSize val="0"/>
        </c:dLbls>
        <c:gapWidth val="219"/>
        <c:axId val="259141503"/>
        <c:axId val="259134303"/>
      </c:barChart>
      <c:catAx>
        <c:axId val="259141503"/>
        <c:scaling>
          <c:orientation val="minMax"/>
        </c:scaling>
        <c:delete val="1"/>
        <c:axPos val="b"/>
        <c:numFmt formatCode="General" sourceLinked="1"/>
        <c:majorTickMark val="out"/>
        <c:minorTickMark val="none"/>
        <c:tickLblPos val="nextTo"/>
        <c:crossAx val="259134303"/>
        <c:crosses val="autoZero"/>
        <c:auto val="1"/>
        <c:lblAlgn val="ctr"/>
        <c:lblOffset val="100"/>
        <c:noMultiLvlLbl val="0"/>
      </c:catAx>
      <c:valAx>
        <c:axId val="25913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59141503"/>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DUSBIN!A1"/><Relationship Id="rId18" Type="http://schemas.openxmlformats.org/officeDocument/2006/relationships/chart" Target="../charts/chart9.xml"/><Relationship Id="rId3" Type="http://schemas.openxmlformats.org/officeDocument/2006/relationships/image" Target="../media/image4.png"/><Relationship Id="rId7" Type="http://schemas.openxmlformats.org/officeDocument/2006/relationships/hyperlink" Target="#'SALES DETAILS'!A1"/><Relationship Id="rId12" Type="http://schemas.openxmlformats.org/officeDocument/2006/relationships/image" Target="../media/image9.svg"/><Relationship Id="rId17" Type="http://schemas.openxmlformats.org/officeDocument/2006/relationships/chart" Target="../charts/chart8.xml"/><Relationship Id="rId2" Type="http://schemas.openxmlformats.org/officeDocument/2006/relationships/image" Target="../media/image3.svg"/><Relationship Id="rId16"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hyperlink" Target="#CITY!A1"/><Relationship Id="rId11" Type="http://schemas.openxmlformats.org/officeDocument/2006/relationships/image" Target="../media/image8.png"/><Relationship Id="rId5" Type="http://schemas.openxmlformats.org/officeDocument/2006/relationships/chart" Target="../charts/chart6.xml"/><Relationship Id="rId15" Type="http://schemas.openxmlformats.org/officeDocument/2006/relationships/image" Target="../media/image11.svg"/><Relationship Id="rId10" Type="http://schemas.openxmlformats.org/officeDocument/2006/relationships/hyperlink" Target="#'RAW DATA'!A1"/><Relationship Id="rId19" Type="http://schemas.openxmlformats.org/officeDocument/2006/relationships/chart" Target="../charts/chart10.xml"/><Relationship Id="rId4" Type="http://schemas.openxmlformats.org/officeDocument/2006/relationships/image" Target="../media/image5.svg"/><Relationship Id="rId9" Type="http://schemas.openxmlformats.org/officeDocument/2006/relationships/image" Target="../media/image7.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6350</xdr:colOff>
      <xdr:row>25</xdr:row>
      <xdr:rowOff>82551</xdr:rowOff>
    </xdr:from>
    <xdr:to>
      <xdr:col>8</xdr:col>
      <xdr:colOff>1244600</xdr:colOff>
      <xdr:row>31</xdr:row>
      <xdr:rowOff>1</xdr:rowOff>
    </xdr:to>
    <mc:AlternateContent xmlns:mc="http://schemas.openxmlformats.org/markup-compatibility/2006" xmlns:a14="http://schemas.microsoft.com/office/drawing/2010/main">
      <mc:Choice Requires="a14">
        <xdr:graphicFrame macro="">
          <xdr:nvGraphicFramePr>
            <xdr:cNvPr id="7" name=" City">
              <a:extLst>
                <a:ext uri="{FF2B5EF4-FFF2-40B4-BE49-F238E27FC236}">
                  <a16:creationId xmlns:a16="http://schemas.microsoft.com/office/drawing/2014/main" id="{9A9973D7-47A0-E7E0-8A2C-B9A166E1A616}"/>
                </a:ext>
              </a:extLst>
            </xdr:cNvPr>
            <xdr:cNvGraphicFramePr/>
          </xdr:nvGraphicFramePr>
          <xdr:xfrm>
            <a:off x="0" y="0"/>
            <a:ext cx="0" cy="0"/>
          </xdr:xfrm>
          <a:graphic>
            <a:graphicData uri="http://schemas.microsoft.com/office/drawing/2010/slicer">
              <sle:slicer xmlns:sle="http://schemas.microsoft.com/office/drawing/2010/slicer" name=" City"/>
            </a:graphicData>
          </a:graphic>
        </xdr:graphicFrame>
      </mc:Choice>
      <mc:Fallback xmlns="">
        <xdr:sp macro="" textlink="">
          <xdr:nvSpPr>
            <xdr:cNvPr id="0" name=""/>
            <xdr:cNvSpPr>
              <a:spLocks noTextEdit="1"/>
            </xdr:cNvSpPr>
          </xdr:nvSpPr>
          <xdr:spPr>
            <a:xfrm>
              <a:off x="6864350" y="4686301"/>
              <a:ext cx="203835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15875</xdr:colOff>
      <xdr:row>25</xdr:row>
      <xdr:rowOff>6350</xdr:rowOff>
    </xdr:from>
    <xdr:to>
      <xdr:col>5</xdr:col>
      <xdr:colOff>288925</xdr:colOff>
      <xdr:row>39</xdr:row>
      <xdr:rowOff>171450</xdr:rowOff>
    </xdr:to>
    <xdr:graphicFrame macro="">
      <xdr:nvGraphicFramePr>
        <xdr:cNvPr id="2" name="Chart 1">
          <a:extLst>
            <a:ext uri="{FF2B5EF4-FFF2-40B4-BE49-F238E27FC236}">
              <a16:creationId xmlns:a16="http://schemas.microsoft.com/office/drawing/2014/main" id="{C6016F4F-0D72-5FFB-BDB9-F25E6BDE2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650875</xdr:colOff>
      <xdr:row>16</xdr:row>
      <xdr:rowOff>139700</xdr:rowOff>
    </xdr:from>
    <xdr:to>
      <xdr:col>12</xdr:col>
      <xdr:colOff>333375</xdr:colOff>
      <xdr:row>17</xdr:row>
      <xdr:rowOff>76200</xdr:rowOff>
    </xdr:to>
    <xdr:graphicFrame macro="">
      <xdr:nvGraphicFramePr>
        <xdr:cNvPr id="3" name="Chart 2">
          <a:extLst>
            <a:ext uri="{FF2B5EF4-FFF2-40B4-BE49-F238E27FC236}">
              <a16:creationId xmlns:a16="http://schemas.microsoft.com/office/drawing/2014/main" id="{C07D4CB2-65BC-2C45-B43F-2D826A96A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825500</xdr:colOff>
      <xdr:row>15</xdr:row>
      <xdr:rowOff>95251</xdr:rowOff>
    </xdr:from>
    <xdr:to>
      <xdr:col>11</xdr:col>
      <xdr:colOff>374650</xdr:colOff>
      <xdr:row>22</xdr:row>
      <xdr:rowOff>31751</xdr:rowOff>
    </xdr:to>
    <mc:AlternateContent xmlns:mc="http://schemas.openxmlformats.org/markup-compatibility/2006" xmlns:a14="http://schemas.microsoft.com/office/drawing/2010/main">
      <mc:Choice Requires="a14">
        <xdr:graphicFrame macro="">
          <xdr:nvGraphicFramePr>
            <xdr:cNvPr id="4" name=" City 1">
              <a:extLst>
                <a:ext uri="{FF2B5EF4-FFF2-40B4-BE49-F238E27FC236}">
                  <a16:creationId xmlns:a16="http://schemas.microsoft.com/office/drawing/2014/main" id="{C23374AE-3EB2-C3CE-1970-ABB6DB20A03D}"/>
                </a:ext>
              </a:extLst>
            </xdr:cNvPr>
            <xdr:cNvGraphicFramePr/>
          </xdr:nvGraphicFramePr>
          <xdr:xfrm>
            <a:off x="0" y="0"/>
            <a:ext cx="0" cy="0"/>
          </xdr:xfrm>
          <a:graphic>
            <a:graphicData uri="http://schemas.microsoft.com/office/drawing/2010/slicer">
              <sle:slicer xmlns:sle="http://schemas.microsoft.com/office/drawing/2010/slicer" name=" City 1"/>
            </a:graphicData>
          </a:graphic>
        </xdr:graphicFrame>
      </mc:Choice>
      <mc:Fallback xmlns="">
        <xdr:sp macro="" textlink="">
          <xdr:nvSpPr>
            <xdr:cNvPr id="0" name=""/>
            <xdr:cNvSpPr>
              <a:spLocks noTextEdit="1"/>
            </xdr:cNvSpPr>
          </xdr:nvSpPr>
          <xdr:spPr>
            <a:xfrm>
              <a:off x="9759950" y="28575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1095375</xdr:colOff>
      <xdr:row>22</xdr:row>
      <xdr:rowOff>50800</xdr:rowOff>
    </xdr:from>
    <xdr:to>
      <xdr:col>13</xdr:col>
      <xdr:colOff>25400</xdr:colOff>
      <xdr:row>32</xdr:row>
      <xdr:rowOff>19050</xdr:rowOff>
    </xdr:to>
    <xdr:graphicFrame macro="">
      <xdr:nvGraphicFramePr>
        <xdr:cNvPr id="5" name="Chart 4">
          <a:extLst>
            <a:ext uri="{FF2B5EF4-FFF2-40B4-BE49-F238E27FC236}">
              <a16:creationId xmlns:a16="http://schemas.microsoft.com/office/drawing/2014/main" id="{876D7765-3B9D-ABA3-9E3C-69466FE23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279400</xdr:colOff>
      <xdr:row>5</xdr:row>
      <xdr:rowOff>152400</xdr:rowOff>
    </xdr:from>
    <xdr:to>
      <xdr:col>10</xdr:col>
      <xdr:colOff>444500</xdr:colOff>
      <xdr:row>12</xdr:row>
      <xdr:rowOff>63500</xdr:rowOff>
    </xdr:to>
    <xdr:graphicFrame macro="">
      <xdr:nvGraphicFramePr>
        <xdr:cNvPr id="6" name="Chart 5">
          <a:extLst>
            <a:ext uri="{FF2B5EF4-FFF2-40B4-BE49-F238E27FC236}">
              <a16:creationId xmlns:a16="http://schemas.microsoft.com/office/drawing/2014/main" id="{14260F2C-DC6F-6FFF-5F96-913431600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177800</xdr:colOff>
      <xdr:row>8</xdr:row>
      <xdr:rowOff>82550</xdr:rowOff>
    </xdr:from>
    <xdr:to>
      <xdr:col>8</xdr:col>
      <xdr:colOff>1174750</xdr:colOff>
      <xdr:row>23</xdr:row>
      <xdr:rowOff>63500</xdr:rowOff>
    </xdr:to>
    <xdr:graphicFrame macro="">
      <xdr:nvGraphicFramePr>
        <xdr:cNvPr id="8" name="Chart 7">
          <a:extLst>
            <a:ext uri="{FF2B5EF4-FFF2-40B4-BE49-F238E27FC236}">
              <a16:creationId xmlns:a16="http://schemas.microsoft.com/office/drawing/2014/main" id="{F47EB642-935B-C6A4-BD4F-9165B0B3C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229305</xdr:colOff>
      <xdr:row>1</xdr:row>
      <xdr:rowOff>52917</xdr:rowOff>
    </xdr:from>
    <xdr:to>
      <xdr:col>47</xdr:col>
      <xdr:colOff>529167</xdr:colOff>
      <xdr:row>9</xdr:row>
      <xdr:rowOff>141111</xdr:rowOff>
    </xdr:to>
    <xdr:sp macro="" textlink="">
      <xdr:nvSpPr>
        <xdr:cNvPr id="3" name="Rectangle: Rounded Corners 2">
          <a:extLst>
            <a:ext uri="{FF2B5EF4-FFF2-40B4-BE49-F238E27FC236}">
              <a16:creationId xmlns:a16="http://schemas.microsoft.com/office/drawing/2014/main" id="{733FEFFE-8145-D324-9785-A98486C20D5C}"/>
            </a:ext>
          </a:extLst>
        </xdr:cNvPr>
        <xdr:cNvSpPr/>
      </xdr:nvSpPr>
      <xdr:spPr>
        <a:xfrm>
          <a:off x="229305" y="229306"/>
          <a:ext cx="30973890" cy="149930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t>SALES-DASHBOARD</a:t>
          </a:r>
        </a:p>
      </xdr:txBody>
    </xdr:sp>
    <xdr:clientData/>
  </xdr:twoCellAnchor>
  <xdr:twoCellAnchor editAs="oneCell">
    <xdr:from>
      <xdr:col>16</xdr:col>
      <xdr:colOff>264583</xdr:colOff>
      <xdr:row>2</xdr:row>
      <xdr:rowOff>17638</xdr:rowOff>
    </xdr:from>
    <xdr:to>
      <xdr:col>19</xdr:col>
      <xdr:colOff>423333</xdr:colOff>
      <xdr:row>9</xdr:row>
      <xdr:rowOff>35276</xdr:rowOff>
    </xdr:to>
    <xdr:pic>
      <xdr:nvPicPr>
        <xdr:cNvPr id="5" name="Graphic 4" descr="Internet with solid fill">
          <a:extLst>
            <a:ext uri="{FF2B5EF4-FFF2-40B4-BE49-F238E27FC236}">
              <a16:creationId xmlns:a16="http://schemas.microsoft.com/office/drawing/2014/main" id="{381D9ED2-C110-17E5-6712-2945E9D19C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06805" y="370416"/>
          <a:ext cx="2010833" cy="1252360"/>
        </a:xfrm>
        <a:prstGeom prst="rect">
          <a:avLst/>
        </a:prstGeom>
      </xdr:spPr>
    </xdr:pic>
    <xdr:clientData/>
  </xdr:twoCellAnchor>
  <xdr:twoCellAnchor>
    <xdr:from>
      <xdr:col>5</xdr:col>
      <xdr:colOff>564446</xdr:colOff>
      <xdr:row>13</xdr:row>
      <xdr:rowOff>52916</xdr:rowOff>
    </xdr:from>
    <xdr:to>
      <xdr:col>12</xdr:col>
      <xdr:colOff>564445</xdr:colOff>
      <xdr:row>21</xdr:row>
      <xdr:rowOff>158750</xdr:rowOff>
    </xdr:to>
    <xdr:grpSp>
      <xdr:nvGrpSpPr>
        <xdr:cNvPr id="14" name="Group 13">
          <a:extLst>
            <a:ext uri="{FF2B5EF4-FFF2-40B4-BE49-F238E27FC236}">
              <a16:creationId xmlns:a16="http://schemas.microsoft.com/office/drawing/2014/main" id="{9B30DFDA-A442-677A-9E79-9EE255B62AD2}"/>
            </a:ext>
          </a:extLst>
        </xdr:cNvPr>
        <xdr:cNvGrpSpPr/>
      </xdr:nvGrpSpPr>
      <xdr:grpSpPr>
        <a:xfrm>
          <a:off x="3651252" y="2345972"/>
          <a:ext cx="4321526" cy="1516945"/>
          <a:chOff x="285749" y="1500188"/>
          <a:chExt cx="2667000" cy="881063"/>
        </a:xfrm>
      </xdr:grpSpPr>
      <xdr:sp macro="" textlink="">
        <xdr:nvSpPr>
          <xdr:cNvPr id="6" name="Rectangle: Rounded Corners 5">
            <a:extLst>
              <a:ext uri="{FF2B5EF4-FFF2-40B4-BE49-F238E27FC236}">
                <a16:creationId xmlns:a16="http://schemas.microsoft.com/office/drawing/2014/main" id="{8023CF0D-7C38-17B3-B639-33CDA9499913}"/>
              </a:ext>
            </a:extLst>
          </xdr:cNvPr>
          <xdr:cNvSpPr/>
        </xdr:nvSpPr>
        <xdr:spPr>
          <a:xfrm>
            <a:off x="285749" y="1500188"/>
            <a:ext cx="2667000" cy="88106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2" algn="ctr"/>
            <a:r>
              <a:rPr lang="en-IN" sz="1400"/>
              <a:t> </a:t>
            </a:r>
            <a:r>
              <a:rPr lang="en-IN" sz="1600"/>
              <a:t>TOTAL SALES     </a:t>
            </a:r>
            <a:endParaRPr lang="en-IN" sz="1400"/>
          </a:p>
        </xdr:txBody>
      </xdr:sp>
      <xdr:sp macro="" textlink="">
        <xdr:nvSpPr>
          <xdr:cNvPr id="9" name="Oval 8">
            <a:extLst>
              <a:ext uri="{FF2B5EF4-FFF2-40B4-BE49-F238E27FC236}">
                <a16:creationId xmlns:a16="http://schemas.microsoft.com/office/drawing/2014/main" id="{3FC722F8-CC16-C855-E3C3-CFB74B617E59}"/>
              </a:ext>
            </a:extLst>
          </xdr:cNvPr>
          <xdr:cNvSpPr/>
        </xdr:nvSpPr>
        <xdr:spPr>
          <a:xfrm>
            <a:off x="508000" y="1611313"/>
            <a:ext cx="769938" cy="6985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Graphic 10" descr="Coins with solid fill">
            <a:extLst>
              <a:ext uri="{FF2B5EF4-FFF2-40B4-BE49-F238E27FC236}">
                <a16:creationId xmlns:a16="http://schemas.microsoft.com/office/drawing/2014/main" id="{85A31424-8A47-1390-1129-4E48A2B8D13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9437" y="1658936"/>
            <a:ext cx="595313" cy="595313"/>
          </a:xfrm>
          <a:prstGeom prst="rect">
            <a:avLst/>
          </a:prstGeom>
        </xdr:spPr>
      </xdr:pic>
      <xdr:sp macro="" textlink="">
        <xdr:nvSpPr>
          <xdr:cNvPr id="12" name="Rectangle: Rounded Corners 11">
            <a:extLst>
              <a:ext uri="{FF2B5EF4-FFF2-40B4-BE49-F238E27FC236}">
                <a16:creationId xmlns:a16="http://schemas.microsoft.com/office/drawing/2014/main" id="{65121216-431B-7849-DF2D-069AEFE263A2}"/>
              </a:ext>
            </a:extLst>
          </xdr:cNvPr>
          <xdr:cNvSpPr/>
        </xdr:nvSpPr>
        <xdr:spPr>
          <a:xfrm>
            <a:off x="1468438" y="1905000"/>
            <a:ext cx="1222375" cy="34925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 </a:t>
            </a:r>
            <a:r>
              <a:rPr lang="en-IN" sz="1600" b="0" i="0" u="none" strike="noStrike">
                <a:solidFill>
                  <a:schemeClr val="lt1"/>
                </a:solidFill>
                <a:effectLst/>
                <a:latin typeface="+mn-lt"/>
                <a:ea typeface="+mn-ea"/>
                <a:cs typeface="+mn-cs"/>
              </a:rPr>
              <a:t>₹ 7,580.00 </a:t>
            </a:r>
            <a:endParaRPr lang="en-IN" sz="1400"/>
          </a:p>
        </xdr:txBody>
      </xdr:sp>
    </xdr:grpSp>
    <xdr:clientData/>
  </xdr:twoCellAnchor>
  <xdr:twoCellAnchor>
    <xdr:from>
      <xdr:col>13</xdr:col>
      <xdr:colOff>35277</xdr:colOff>
      <xdr:row>12</xdr:row>
      <xdr:rowOff>123472</xdr:rowOff>
    </xdr:from>
    <xdr:to>
      <xdr:col>31</xdr:col>
      <xdr:colOff>211666</xdr:colOff>
      <xdr:row>41</xdr:row>
      <xdr:rowOff>105833</xdr:rowOff>
    </xdr:to>
    <xdr:graphicFrame macro="">
      <xdr:nvGraphicFramePr>
        <xdr:cNvPr id="2" name="Chart 1">
          <a:extLst>
            <a:ext uri="{FF2B5EF4-FFF2-40B4-BE49-F238E27FC236}">
              <a16:creationId xmlns:a16="http://schemas.microsoft.com/office/drawing/2014/main" id="{3C2B2EAD-C52B-46BF-A706-8C7192845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70558</xdr:colOff>
      <xdr:row>12</xdr:row>
      <xdr:rowOff>52915</xdr:rowOff>
    </xdr:from>
    <xdr:to>
      <xdr:col>4</xdr:col>
      <xdr:colOff>493889</xdr:colOff>
      <xdr:row>62</xdr:row>
      <xdr:rowOff>88195</xdr:rowOff>
    </xdr:to>
    <xdr:sp macro="" textlink="">
      <xdr:nvSpPr>
        <xdr:cNvPr id="20" name="Rectangle: Rounded Corners 19">
          <a:extLst>
            <a:ext uri="{FF2B5EF4-FFF2-40B4-BE49-F238E27FC236}">
              <a16:creationId xmlns:a16="http://schemas.microsoft.com/office/drawing/2014/main" id="{5A036E1D-6A9B-6822-3EA8-65E626A4D38D}"/>
            </a:ext>
          </a:extLst>
        </xdr:cNvPr>
        <xdr:cNvSpPr/>
      </xdr:nvSpPr>
      <xdr:spPr>
        <a:xfrm>
          <a:off x="723197" y="2169582"/>
          <a:ext cx="2381248" cy="820208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4400">
            <a:solidFill>
              <a:schemeClr val="lt1"/>
            </a:solidFill>
            <a:latin typeface="+mn-lt"/>
            <a:ea typeface="+mn-ea"/>
            <a:cs typeface="+mn-cs"/>
          </a:endParaRPr>
        </a:p>
      </xdr:txBody>
    </xdr:sp>
    <xdr:clientData/>
  </xdr:twoCellAnchor>
  <xdr:twoCellAnchor>
    <xdr:from>
      <xdr:col>1</xdr:col>
      <xdr:colOff>539454</xdr:colOff>
      <xdr:row>15</xdr:row>
      <xdr:rowOff>54936</xdr:rowOff>
    </xdr:from>
    <xdr:to>
      <xdr:col>3</xdr:col>
      <xdr:colOff>454299</xdr:colOff>
      <xdr:row>20</xdr:row>
      <xdr:rowOff>108998</xdr:rowOff>
    </xdr:to>
    <xdr:grpSp>
      <xdr:nvGrpSpPr>
        <xdr:cNvPr id="39" name="Group 38">
          <a:hlinkClick xmlns:r="http://schemas.openxmlformats.org/officeDocument/2006/relationships" r:id="rId6"/>
          <a:extLst>
            <a:ext uri="{FF2B5EF4-FFF2-40B4-BE49-F238E27FC236}">
              <a16:creationId xmlns:a16="http://schemas.microsoft.com/office/drawing/2014/main" id="{D0BB11BA-6862-0248-BA0E-7ACA91672617}"/>
            </a:ext>
          </a:extLst>
        </xdr:cNvPr>
        <xdr:cNvGrpSpPr/>
      </xdr:nvGrpSpPr>
      <xdr:grpSpPr>
        <a:xfrm>
          <a:off x="1156815" y="2700769"/>
          <a:ext cx="1149567" cy="936007"/>
          <a:chOff x="1192093" y="2206881"/>
          <a:chExt cx="1337617" cy="1036652"/>
        </a:xfrm>
      </xdr:grpSpPr>
      <xdr:sp macro="" textlink="">
        <xdr:nvSpPr>
          <xdr:cNvPr id="35" name="Freeform: Shape 34">
            <a:extLst>
              <a:ext uri="{FF2B5EF4-FFF2-40B4-BE49-F238E27FC236}">
                <a16:creationId xmlns:a16="http://schemas.microsoft.com/office/drawing/2014/main" id="{EAEFCC26-F1ED-E09D-8470-50D6144B4942}"/>
              </a:ext>
            </a:extLst>
          </xdr:cNvPr>
          <xdr:cNvSpPr/>
        </xdr:nvSpPr>
        <xdr:spPr>
          <a:xfrm>
            <a:off x="1192093" y="2641606"/>
            <a:ext cx="401285" cy="601927"/>
          </a:xfrm>
          <a:custGeom>
            <a:avLst/>
            <a:gdLst>
              <a:gd name="csX0" fmla="*/ 100321 w 401285"/>
              <a:gd name="csY0" fmla="*/ 367845 h 601927"/>
              <a:gd name="csX1" fmla="*/ 167202 w 401285"/>
              <a:gd name="csY1" fmla="*/ 367845 h 601927"/>
              <a:gd name="csX2" fmla="*/ 167202 w 401285"/>
              <a:gd name="csY2" fmla="*/ 434725 h 601927"/>
              <a:gd name="csX3" fmla="*/ 100321 w 401285"/>
              <a:gd name="csY3" fmla="*/ 434725 h 601927"/>
              <a:gd name="csX4" fmla="*/ 100321 w 401285"/>
              <a:gd name="csY4" fmla="*/ 367845 h 601927"/>
              <a:gd name="csX5" fmla="*/ 100321 w 401285"/>
              <a:gd name="csY5" fmla="*/ 234083 h 601927"/>
              <a:gd name="csX6" fmla="*/ 167202 w 401285"/>
              <a:gd name="csY6" fmla="*/ 234083 h 601927"/>
              <a:gd name="csX7" fmla="*/ 167202 w 401285"/>
              <a:gd name="csY7" fmla="*/ 300964 h 601927"/>
              <a:gd name="csX8" fmla="*/ 100321 w 401285"/>
              <a:gd name="csY8" fmla="*/ 300964 h 601927"/>
              <a:gd name="csX9" fmla="*/ 100321 w 401285"/>
              <a:gd name="csY9" fmla="*/ 234083 h 601927"/>
              <a:gd name="csX10" fmla="*/ 100321 w 401285"/>
              <a:gd name="csY10" fmla="*/ 100321 h 601927"/>
              <a:gd name="csX11" fmla="*/ 167202 w 401285"/>
              <a:gd name="csY11" fmla="*/ 100321 h 601927"/>
              <a:gd name="csX12" fmla="*/ 167202 w 401285"/>
              <a:gd name="csY12" fmla="*/ 167202 h 601927"/>
              <a:gd name="csX13" fmla="*/ 100321 w 401285"/>
              <a:gd name="csY13" fmla="*/ 167202 h 601927"/>
              <a:gd name="csX14" fmla="*/ 100321 w 401285"/>
              <a:gd name="csY14" fmla="*/ 100321 h 601927"/>
              <a:gd name="csX15" fmla="*/ 234083 w 401285"/>
              <a:gd name="csY15" fmla="*/ 367845 h 601927"/>
              <a:gd name="csX16" fmla="*/ 300964 w 401285"/>
              <a:gd name="csY16" fmla="*/ 367845 h 601927"/>
              <a:gd name="csX17" fmla="*/ 300964 w 401285"/>
              <a:gd name="csY17" fmla="*/ 434725 h 601927"/>
              <a:gd name="csX18" fmla="*/ 234083 w 401285"/>
              <a:gd name="csY18" fmla="*/ 434725 h 601927"/>
              <a:gd name="csX19" fmla="*/ 234083 w 401285"/>
              <a:gd name="csY19" fmla="*/ 367845 h 601927"/>
              <a:gd name="csX20" fmla="*/ 234083 w 401285"/>
              <a:gd name="csY20" fmla="*/ 234083 h 601927"/>
              <a:gd name="csX21" fmla="*/ 300964 w 401285"/>
              <a:gd name="csY21" fmla="*/ 234083 h 601927"/>
              <a:gd name="csX22" fmla="*/ 300964 w 401285"/>
              <a:gd name="csY22" fmla="*/ 300964 h 601927"/>
              <a:gd name="csX23" fmla="*/ 234083 w 401285"/>
              <a:gd name="csY23" fmla="*/ 300964 h 601927"/>
              <a:gd name="csX24" fmla="*/ 234083 w 401285"/>
              <a:gd name="csY24" fmla="*/ 234083 h 601927"/>
              <a:gd name="csX25" fmla="*/ 234083 w 401285"/>
              <a:gd name="csY25" fmla="*/ 100321 h 601927"/>
              <a:gd name="csX26" fmla="*/ 300964 w 401285"/>
              <a:gd name="csY26" fmla="*/ 100321 h 601927"/>
              <a:gd name="csX27" fmla="*/ 300964 w 401285"/>
              <a:gd name="csY27" fmla="*/ 167202 h 601927"/>
              <a:gd name="csX28" fmla="*/ 234083 w 401285"/>
              <a:gd name="csY28" fmla="*/ 167202 h 601927"/>
              <a:gd name="csX29" fmla="*/ 234083 w 401285"/>
              <a:gd name="csY29" fmla="*/ 100321 h 601927"/>
              <a:gd name="csX30" fmla="*/ 0 w 401285"/>
              <a:gd name="csY30" fmla="*/ 601928 h 601927"/>
              <a:gd name="csX31" fmla="*/ 167202 w 401285"/>
              <a:gd name="csY31" fmla="*/ 601928 h 601927"/>
              <a:gd name="csX32" fmla="*/ 167202 w 401285"/>
              <a:gd name="csY32" fmla="*/ 501606 h 601927"/>
              <a:gd name="csX33" fmla="*/ 234083 w 401285"/>
              <a:gd name="csY33" fmla="*/ 501606 h 601927"/>
              <a:gd name="csX34" fmla="*/ 234083 w 401285"/>
              <a:gd name="csY34" fmla="*/ 601928 h 601927"/>
              <a:gd name="csX35" fmla="*/ 401285 w 401285"/>
              <a:gd name="csY35" fmla="*/ 601928 h 601927"/>
              <a:gd name="csX36" fmla="*/ 401285 w 401285"/>
              <a:gd name="csY36" fmla="*/ 0 h 601927"/>
              <a:gd name="csX37" fmla="*/ 0 w 401285"/>
              <a:gd name="csY37" fmla="*/ 0 h 601927"/>
              <a:gd name="csX38" fmla="*/ 0 w 401285"/>
              <a:gd name="csY38" fmla="*/ 601928 h 60192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Lst>
            <a:rect l="l" t="t" r="r" b="b"/>
            <a:pathLst>
              <a:path w="401285" h="601927">
                <a:moveTo>
                  <a:pt x="100321" y="367845"/>
                </a:moveTo>
                <a:lnTo>
                  <a:pt x="167202" y="367845"/>
                </a:lnTo>
                <a:lnTo>
                  <a:pt x="167202" y="434725"/>
                </a:lnTo>
                <a:lnTo>
                  <a:pt x="100321" y="434725"/>
                </a:lnTo>
                <a:lnTo>
                  <a:pt x="100321" y="367845"/>
                </a:lnTo>
                <a:close/>
                <a:moveTo>
                  <a:pt x="100321" y="234083"/>
                </a:moveTo>
                <a:lnTo>
                  <a:pt x="167202" y="234083"/>
                </a:lnTo>
                <a:lnTo>
                  <a:pt x="167202" y="300964"/>
                </a:lnTo>
                <a:lnTo>
                  <a:pt x="100321" y="300964"/>
                </a:lnTo>
                <a:lnTo>
                  <a:pt x="100321" y="234083"/>
                </a:lnTo>
                <a:close/>
                <a:moveTo>
                  <a:pt x="100321" y="100321"/>
                </a:moveTo>
                <a:lnTo>
                  <a:pt x="167202" y="100321"/>
                </a:lnTo>
                <a:lnTo>
                  <a:pt x="167202" y="167202"/>
                </a:lnTo>
                <a:lnTo>
                  <a:pt x="100321" y="167202"/>
                </a:lnTo>
                <a:lnTo>
                  <a:pt x="100321" y="100321"/>
                </a:lnTo>
                <a:close/>
                <a:moveTo>
                  <a:pt x="234083" y="367845"/>
                </a:moveTo>
                <a:lnTo>
                  <a:pt x="300964" y="367845"/>
                </a:lnTo>
                <a:lnTo>
                  <a:pt x="300964" y="434725"/>
                </a:lnTo>
                <a:lnTo>
                  <a:pt x="234083" y="434725"/>
                </a:lnTo>
                <a:lnTo>
                  <a:pt x="234083" y="367845"/>
                </a:lnTo>
                <a:close/>
                <a:moveTo>
                  <a:pt x="234083" y="234083"/>
                </a:moveTo>
                <a:lnTo>
                  <a:pt x="300964" y="234083"/>
                </a:lnTo>
                <a:lnTo>
                  <a:pt x="300964" y="300964"/>
                </a:lnTo>
                <a:lnTo>
                  <a:pt x="234083" y="300964"/>
                </a:lnTo>
                <a:lnTo>
                  <a:pt x="234083" y="234083"/>
                </a:lnTo>
                <a:close/>
                <a:moveTo>
                  <a:pt x="234083" y="100321"/>
                </a:moveTo>
                <a:lnTo>
                  <a:pt x="300964" y="100321"/>
                </a:lnTo>
                <a:lnTo>
                  <a:pt x="300964" y="167202"/>
                </a:lnTo>
                <a:lnTo>
                  <a:pt x="234083" y="167202"/>
                </a:lnTo>
                <a:lnTo>
                  <a:pt x="234083" y="100321"/>
                </a:lnTo>
                <a:close/>
                <a:moveTo>
                  <a:pt x="0" y="601928"/>
                </a:moveTo>
                <a:lnTo>
                  <a:pt x="167202" y="601928"/>
                </a:lnTo>
                <a:lnTo>
                  <a:pt x="167202" y="501606"/>
                </a:lnTo>
                <a:lnTo>
                  <a:pt x="234083" y="501606"/>
                </a:lnTo>
                <a:lnTo>
                  <a:pt x="234083" y="601928"/>
                </a:lnTo>
                <a:lnTo>
                  <a:pt x="401285" y="601928"/>
                </a:lnTo>
                <a:lnTo>
                  <a:pt x="401285" y="0"/>
                </a:lnTo>
                <a:lnTo>
                  <a:pt x="0" y="0"/>
                </a:lnTo>
                <a:lnTo>
                  <a:pt x="0" y="601928"/>
                </a:lnTo>
                <a:close/>
              </a:path>
            </a:pathLst>
          </a:custGeom>
          <a:solidFill>
            <a:srgbClr val="000000"/>
          </a:solidFill>
          <a:ln w="16669" cap="flat">
            <a:noFill/>
            <a:prstDash val="solid"/>
            <a:miter/>
          </a:ln>
        </xdr:spPr>
      </xdr:sp>
      <xdr:sp macro="" textlink="">
        <xdr:nvSpPr>
          <xdr:cNvPr id="36" name="Freeform: Shape 35">
            <a:extLst>
              <a:ext uri="{FF2B5EF4-FFF2-40B4-BE49-F238E27FC236}">
                <a16:creationId xmlns:a16="http://schemas.microsoft.com/office/drawing/2014/main" id="{D90B409D-973D-4DBE-5283-5A335348C1A6}"/>
              </a:ext>
            </a:extLst>
          </xdr:cNvPr>
          <xdr:cNvSpPr/>
        </xdr:nvSpPr>
        <xdr:spPr>
          <a:xfrm>
            <a:off x="1660259" y="2775368"/>
            <a:ext cx="401285" cy="468165"/>
          </a:xfrm>
          <a:custGeom>
            <a:avLst/>
            <a:gdLst>
              <a:gd name="csX0" fmla="*/ 100321 w 401285"/>
              <a:gd name="csY0" fmla="*/ 234083 h 468165"/>
              <a:gd name="csX1" fmla="*/ 167202 w 401285"/>
              <a:gd name="csY1" fmla="*/ 234083 h 468165"/>
              <a:gd name="csX2" fmla="*/ 167202 w 401285"/>
              <a:gd name="csY2" fmla="*/ 300964 h 468165"/>
              <a:gd name="csX3" fmla="*/ 100321 w 401285"/>
              <a:gd name="csY3" fmla="*/ 300964 h 468165"/>
              <a:gd name="csX4" fmla="*/ 100321 w 401285"/>
              <a:gd name="csY4" fmla="*/ 234083 h 468165"/>
              <a:gd name="csX5" fmla="*/ 100321 w 401285"/>
              <a:gd name="csY5" fmla="*/ 100321 h 468165"/>
              <a:gd name="csX6" fmla="*/ 167202 w 401285"/>
              <a:gd name="csY6" fmla="*/ 100321 h 468165"/>
              <a:gd name="csX7" fmla="*/ 167202 w 401285"/>
              <a:gd name="csY7" fmla="*/ 167202 h 468165"/>
              <a:gd name="csX8" fmla="*/ 100321 w 401285"/>
              <a:gd name="csY8" fmla="*/ 167202 h 468165"/>
              <a:gd name="csX9" fmla="*/ 100321 w 401285"/>
              <a:gd name="csY9" fmla="*/ 100321 h 468165"/>
              <a:gd name="csX10" fmla="*/ 234083 w 401285"/>
              <a:gd name="csY10" fmla="*/ 234083 h 468165"/>
              <a:gd name="csX11" fmla="*/ 300964 w 401285"/>
              <a:gd name="csY11" fmla="*/ 234083 h 468165"/>
              <a:gd name="csX12" fmla="*/ 300964 w 401285"/>
              <a:gd name="csY12" fmla="*/ 300964 h 468165"/>
              <a:gd name="csX13" fmla="*/ 234083 w 401285"/>
              <a:gd name="csY13" fmla="*/ 300964 h 468165"/>
              <a:gd name="csX14" fmla="*/ 234083 w 401285"/>
              <a:gd name="csY14" fmla="*/ 234083 h 468165"/>
              <a:gd name="csX15" fmla="*/ 234083 w 401285"/>
              <a:gd name="csY15" fmla="*/ 100321 h 468165"/>
              <a:gd name="csX16" fmla="*/ 300964 w 401285"/>
              <a:gd name="csY16" fmla="*/ 100321 h 468165"/>
              <a:gd name="csX17" fmla="*/ 300964 w 401285"/>
              <a:gd name="csY17" fmla="*/ 167202 h 468165"/>
              <a:gd name="csX18" fmla="*/ 234083 w 401285"/>
              <a:gd name="csY18" fmla="*/ 167202 h 468165"/>
              <a:gd name="csX19" fmla="*/ 234083 w 401285"/>
              <a:gd name="csY19" fmla="*/ 100321 h 468165"/>
              <a:gd name="csX20" fmla="*/ 0 w 401285"/>
              <a:gd name="csY20" fmla="*/ 468166 h 468165"/>
              <a:gd name="csX21" fmla="*/ 167202 w 401285"/>
              <a:gd name="csY21" fmla="*/ 468166 h 468165"/>
              <a:gd name="csX22" fmla="*/ 167202 w 401285"/>
              <a:gd name="csY22" fmla="*/ 367845 h 468165"/>
              <a:gd name="csX23" fmla="*/ 234083 w 401285"/>
              <a:gd name="csY23" fmla="*/ 367845 h 468165"/>
              <a:gd name="csX24" fmla="*/ 234083 w 401285"/>
              <a:gd name="csY24" fmla="*/ 468166 h 468165"/>
              <a:gd name="csX25" fmla="*/ 401285 w 401285"/>
              <a:gd name="csY25" fmla="*/ 468166 h 468165"/>
              <a:gd name="csX26" fmla="*/ 401285 w 401285"/>
              <a:gd name="csY26" fmla="*/ 0 h 468165"/>
              <a:gd name="csX27" fmla="*/ 0 w 401285"/>
              <a:gd name="csY27" fmla="*/ 0 h 468165"/>
              <a:gd name="csX28" fmla="*/ 0 w 401285"/>
              <a:gd name="csY28" fmla="*/ 468166 h 46816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401285" h="468165">
                <a:moveTo>
                  <a:pt x="100321" y="234083"/>
                </a:moveTo>
                <a:lnTo>
                  <a:pt x="167202" y="234083"/>
                </a:lnTo>
                <a:lnTo>
                  <a:pt x="167202" y="300964"/>
                </a:lnTo>
                <a:lnTo>
                  <a:pt x="100321" y="300964"/>
                </a:lnTo>
                <a:lnTo>
                  <a:pt x="100321" y="234083"/>
                </a:lnTo>
                <a:close/>
                <a:moveTo>
                  <a:pt x="100321" y="100321"/>
                </a:moveTo>
                <a:lnTo>
                  <a:pt x="167202" y="100321"/>
                </a:lnTo>
                <a:lnTo>
                  <a:pt x="167202" y="167202"/>
                </a:lnTo>
                <a:lnTo>
                  <a:pt x="100321" y="167202"/>
                </a:lnTo>
                <a:lnTo>
                  <a:pt x="100321" y="100321"/>
                </a:lnTo>
                <a:close/>
                <a:moveTo>
                  <a:pt x="234083" y="234083"/>
                </a:moveTo>
                <a:lnTo>
                  <a:pt x="300964" y="234083"/>
                </a:lnTo>
                <a:lnTo>
                  <a:pt x="300964" y="300964"/>
                </a:lnTo>
                <a:lnTo>
                  <a:pt x="234083" y="300964"/>
                </a:lnTo>
                <a:lnTo>
                  <a:pt x="234083" y="234083"/>
                </a:lnTo>
                <a:close/>
                <a:moveTo>
                  <a:pt x="234083" y="100321"/>
                </a:moveTo>
                <a:lnTo>
                  <a:pt x="300964" y="100321"/>
                </a:lnTo>
                <a:lnTo>
                  <a:pt x="300964" y="167202"/>
                </a:lnTo>
                <a:lnTo>
                  <a:pt x="234083" y="167202"/>
                </a:lnTo>
                <a:lnTo>
                  <a:pt x="234083" y="100321"/>
                </a:lnTo>
                <a:close/>
                <a:moveTo>
                  <a:pt x="0" y="468166"/>
                </a:moveTo>
                <a:lnTo>
                  <a:pt x="167202" y="468166"/>
                </a:lnTo>
                <a:lnTo>
                  <a:pt x="167202" y="367845"/>
                </a:lnTo>
                <a:lnTo>
                  <a:pt x="234083" y="367845"/>
                </a:lnTo>
                <a:lnTo>
                  <a:pt x="234083" y="468166"/>
                </a:lnTo>
                <a:lnTo>
                  <a:pt x="401285" y="468166"/>
                </a:lnTo>
                <a:lnTo>
                  <a:pt x="401285" y="0"/>
                </a:lnTo>
                <a:lnTo>
                  <a:pt x="0" y="0"/>
                </a:lnTo>
                <a:lnTo>
                  <a:pt x="0" y="468166"/>
                </a:lnTo>
                <a:close/>
              </a:path>
            </a:pathLst>
          </a:custGeom>
          <a:solidFill>
            <a:srgbClr val="000000"/>
          </a:solidFill>
          <a:ln w="16669" cap="flat">
            <a:noFill/>
            <a:prstDash val="solid"/>
            <a:miter/>
          </a:ln>
        </xdr:spPr>
      </xdr:sp>
      <xdr:sp macro="" textlink="">
        <xdr:nvSpPr>
          <xdr:cNvPr id="37" name="Freeform: Shape 36">
            <a:extLst>
              <a:ext uri="{FF2B5EF4-FFF2-40B4-BE49-F238E27FC236}">
                <a16:creationId xmlns:a16="http://schemas.microsoft.com/office/drawing/2014/main" id="{EFD59D85-5A77-5E48-4173-80D6B99DDF12}"/>
              </a:ext>
            </a:extLst>
          </xdr:cNvPr>
          <xdr:cNvSpPr/>
        </xdr:nvSpPr>
        <xdr:spPr>
          <a:xfrm>
            <a:off x="2128425" y="2240321"/>
            <a:ext cx="401285" cy="1003212"/>
          </a:xfrm>
          <a:custGeom>
            <a:avLst/>
            <a:gdLst>
              <a:gd name="csX0" fmla="*/ 300964 w 401285"/>
              <a:gd name="csY0" fmla="*/ 183922 h 1003212"/>
              <a:gd name="csX1" fmla="*/ 234083 w 401285"/>
              <a:gd name="csY1" fmla="*/ 183922 h 1003212"/>
              <a:gd name="csX2" fmla="*/ 234083 w 401285"/>
              <a:gd name="csY2" fmla="*/ 117041 h 1003212"/>
              <a:gd name="csX3" fmla="*/ 300964 w 401285"/>
              <a:gd name="csY3" fmla="*/ 117041 h 1003212"/>
              <a:gd name="csX4" fmla="*/ 300964 w 401285"/>
              <a:gd name="csY4" fmla="*/ 183922 h 1003212"/>
              <a:gd name="csX5" fmla="*/ 300964 w 401285"/>
              <a:gd name="csY5" fmla="*/ 300964 h 1003212"/>
              <a:gd name="csX6" fmla="*/ 234083 w 401285"/>
              <a:gd name="csY6" fmla="*/ 300964 h 1003212"/>
              <a:gd name="csX7" fmla="*/ 234083 w 401285"/>
              <a:gd name="csY7" fmla="*/ 234083 h 1003212"/>
              <a:gd name="csX8" fmla="*/ 300964 w 401285"/>
              <a:gd name="csY8" fmla="*/ 234083 h 1003212"/>
              <a:gd name="csX9" fmla="*/ 300964 w 401285"/>
              <a:gd name="csY9" fmla="*/ 300964 h 1003212"/>
              <a:gd name="csX10" fmla="*/ 300964 w 401285"/>
              <a:gd name="csY10" fmla="*/ 434725 h 1003212"/>
              <a:gd name="csX11" fmla="*/ 234083 w 401285"/>
              <a:gd name="csY11" fmla="*/ 434725 h 1003212"/>
              <a:gd name="csX12" fmla="*/ 234083 w 401285"/>
              <a:gd name="csY12" fmla="*/ 367845 h 1003212"/>
              <a:gd name="csX13" fmla="*/ 300964 w 401285"/>
              <a:gd name="csY13" fmla="*/ 367845 h 1003212"/>
              <a:gd name="csX14" fmla="*/ 300964 w 401285"/>
              <a:gd name="csY14" fmla="*/ 434725 h 1003212"/>
              <a:gd name="csX15" fmla="*/ 300964 w 401285"/>
              <a:gd name="csY15" fmla="*/ 568487 h 1003212"/>
              <a:gd name="csX16" fmla="*/ 234083 w 401285"/>
              <a:gd name="csY16" fmla="*/ 568487 h 1003212"/>
              <a:gd name="csX17" fmla="*/ 234083 w 401285"/>
              <a:gd name="csY17" fmla="*/ 501606 h 1003212"/>
              <a:gd name="csX18" fmla="*/ 300964 w 401285"/>
              <a:gd name="csY18" fmla="*/ 501606 h 1003212"/>
              <a:gd name="csX19" fmla="*/ 300964 w 401285"/>
              <a:gd name="csY19" fmla="*/ 568487 h 1003212"/>
              <a:gd name="csX20" fmla="*/ 300964 w 401285"/>
              <a:gd name="csY20" fmla="*/ 702249 h 1003212"/>
              <a:gd name="csX21" fmla="*/ 234083 w 401285"/>
              <a:gd name="csY21" fmla="*/ 702249 h 1003212"/>
              <a:gd name="csX22" fmla="*/ 234083 w 401285"/>
              <a:gd name="csY22" fmla="*/ 635368 h 1003212"/>
              <a:gd name="csX23" fmla="*/ 300964 w 401285"/>
              <a:gd name="csY23" fmla="*/ 635368 h 1003212"/>
              <a:gd name="csX24" fmla="*/ 300964 w 401285"/>
              <a:gd name="csY24" fmla="*/ 702249 h 1003212"/>
              <a:gd name="csX25" fmla="*/ 300964 w 401285"/>
              <a:gd name="csY25" fmla="*/ 836010 h 1003212"/>
              <a:gd name="csX26" fmla="*/ 234083 w 401285"/>
              <a:gd name="csY26" fmla="*/ 836010 h 1003212"/>
              <a:gd name="csX27" fmla="*/ 234083 w 401285"/>
              <a:gd name="csY27" fmla="*/ 769130 h 1003212"/>
              <a:gd name="csX28" fmla="*/ 300964 w 401285"/>
              <a:gd name="csY28" fmla="*/ 769130 h 1003212"/>
              <a:gd name="csX29" fmla="*/ 300964 w 401285"/>
              <a:gd name="csY29" fmla="*/ 836010 h 1003212"/>
              <a:gd name="csX30" fmla="*/ 167202 w 401285"/>
              <a:gd name="csY30" fmla="*/ 183922 h 1003212"/>
              <a:gd name="csX31" fmla="*/ 100321 w 401285"/>
              <a:gd name="csY31" fmla="*/ 183922 h 1003212"/>
              <a:gd name="csX32" fmla="*/ 100321 w 401285"/>
              <a:gd name="csY32" fmla="*/ 117041 h 1003212"/>
              <a:gd name="csX33" fmla="*/ 167202 w 401285"/>
              <a:gd name="csY33" fmla="*/ 117041 h 1003212"/>
              <a:gd name="csX34" fmla="*/ 167202 w 401285"/>
              <a:gd name="csY34" fmla="*/ 183922 h 1003212"/>
              <a:gd name="csX35" fmla="*/ 167202 w 401285"/>
              <a:gd name="csY35" fmla="*/ 300964 h 1003212"/>
              <a:gd name="csX36" fmla="*/ 100321 w 401285"/>
              <a:gd name="csY36" fmla="*/ 300964 h 1003212"/>
              <a:gd name="csX37" fmla="*/ 100321 w 401285"/>
              <a:gd name="csY37" fmla="*/ 234083 h 1003212"/>
              <a:gd name="csX38" fmla="*/ 167202 w 401285"/>
              <a:gd name="csY38" fmla="*/ 234083 h 1003212"/>
              <a:gd name="csX39" fmla="*/ 167202 w 401285"/>
              <a:gd name="csY39" fmla="*/ 300964 h 1003212"/>
              <a:gd name="csX40" fmla="*/ 167202 w 401285"/>
              <a:gd name="csY40" fmla="*/ 434725 h 1003212"/>
              <a:gd name="csX41" fmla="*/ 100321 w 401285"/>
              <a:gd name="csY41" fmla="*/ 434725 h 1003212"/>
              <a:gd name="csX42" fmla="*/ 100321 w 401285"/>
              <a:gd name="csY42" fmla="*/ 367845 h 1003212"/>
              <a:gd name="csX43" fmla="*/ 167202 w 401285"/>
              <a:gd name="csY43" fmla="*/ 367845 h 1003212"/>
              <a:gd name="csX44" fmla="*/ 167202 w 401285"/>
              <a:gd name="csY44" fmla="*/ 434725 h 1003212"/>
              <a:gd name="csX45" fmla="*/ 167202 w 401285"/>
              <a:gd name="csY45" fmla="*/ 568487 h 1003212"/>
              <a:gd name="csX46" fmla="*/ 100321 w 401285"/>
              <a:gd name="csY46" fmla="*/ 568487 h 1003212"/>
              <a:gd name="csX47" fmla="*/ 100321 w 401285"/>
              <a:gd name="csY47" fmla="*/ 501606 h 1003212"/>
              <a:gd name="csX48" fmla="*/ 167202 w 401285"/>
              <a:gd name="csY48" fmla="*/ 501606 h 1003212"/>
              <a:gd name="csX49" fmla="*/ 167202 w 401285"/>
              <a:gd name="csY49" fmla="*/ 568487 h 1003212"/>
              <a:gd name="csX50" fmla="*/ 167202 w 401285"/>
              <a:gd name="csY50" fmla="*/ 702249 h 1003212"/>
              <a:gd name="csX51" fmla="*/ 100321 w 401285"/>
              <a:gd name="csY51" fmla="*/ 702249 h 1003212"/>
              <a:gd name="csX52" fmla="*/ 100321 w 401285"/>
              <a:gd name="csY52" fmla="*/ 635368 h 1003212"/>
              <a:gd name="csX53" fmla="*/ 167202 w 401285"/>
              <a:gd name="csY53" fmla="*/ 635368 h 1003212"/>
              <a:gd name="csX54" fmla="*/ 167202 w 401285"/>
              <a:gd name="csY54" fmla="*/ 702249 h 1003212"/>
              <a:gd name="csX55" fmla="*/ 167202 w 401285"/>
              <a:gd name="csY55" fmla="*/ 836010 h 1003212"/>
              <a:gd name="csX56" fmla="*/ 100321 w 401285"/>
              <a:gd name="csY56" fmla="*/ 836010 h 1003212"/>
              <a:gd name="csX57" fmla="*/ 100321 w 401285"/>
              <a:gd name="csY57" fmla="*/ 769130 h 1003212"/>
              <a:gd name="csX58" fmla="*/ 167202 w 401285"/>
              <a:gd name="csY58" fmla="*/ 769130 h 1003212"/>
              <a:gd name="csX59" fmla="*/ 167202 w 401285"/>
              <a:gd name="csY59" fmla="*/ 836010 h 1003212"/>
              <a:gd name="csX60" fmla="*/ 0 w 401285"/>
              <a:gd name="csY60" fmla="*/ 0 h 1003212"/>
              <a:gd name="csX61" fmla="*/ 0 w 401285"/>
              <a:gd name="csY61" fmla="*/ 1003213 h 1003212"/>
              <a:gd name="csX62" fmla="*/ 167202 w 401285"/>
              <a:gd name="csY62" fmla="*/ 1003213 h 1003212"/>
              <a:gd name="csX63" fmla="*/ 167202 w 401285"/>
              <a:gd name="csY63" fmla="*/ 902891 h 1003212"/>
              <a:gd name="csX64" fmla="*/ 234083 w 401285"/>
              <a:gd name="csY64" fmla="*/ 902891 h 1003212"/>
              <a:gd name="csX65" fmla="*/ 234083 w 401285"/>
              <a:gd name="csY65" fmla="*/ 1003213 h 1003212"/>
              <a:gd name="csX66" fmla="*/ 401285 w 401285"/>
              <a:gd name="csY66" fmla="*/ 1003213 h 1003212"/>
              <a:gd name="csX67" fmla="*/ 401285 w 401285"/>
              <a:gd name="csY67" fmla="*/ 50161 h 1003212"/>
              <a:gd name="csX68" fmla="*/ 0 w 401285"/>
              <a:gd name="csY68" fmla="*/ 0 h 10032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Lst>
            <a:rect l="l" t="t" r="r" b="b"/>
            <a:pathLst>
              <a:path w="401285" h="1003212">
                <a:moveTo>
                  <a:pt x="300964" y="183922"/>
                </a:moveTo>
                <a:lnTo>
                  <a:pt x="234083" y="183922"/>
                </a:lnTo>
                <a:lnTo>
                  <a:pt x="234083" y="117041"/>
                </a:lnTo>
                <a:lnTo>
                  <a:pt x="300964" y="117041"/>
                </a:lnTo>
                <a:lnTo>
                  <a:pt x="300964" y="183922"/>
                </a:lnTo>
                <a:close/>
                <a:moveTo>
                  <a:pt x="300964" y="300964"/>
                </a:moveTo>
                <a:lnTo>
                  <a:pt x="234083" y="300964"/>
                </a:lnTo>
                <a:lnTo>
                  <a:pt x="234083" y="234083"/>
                </a:lnTo>
                <a:lnTo>
                  <a:pt x="300964" y="234083"/>
                </a:lnTo>
                <a:lnTo>
                  <a:pt x="300964" y="300964"/>
                </a:lnTo>
                <a:close/>
                <a:moveTo>
                  <a:pt x="300964" y="434725"/>
                </a:moveTo>
                <a:lnTo>
                  <a:pt x="234083" y="434725"/>
                </a:lnTo>
                <a:lnTo>
                  <a:pt x="234083" y="367845"/>
                </a:lnTo>
                <a:lnTo>
                  <a:pt x="300964" y="367845"/>
                </a:lnTo>
                <a:lnTo>
                  <a:pt x="300964" y="434725"/>
                </a:lnTo>
                <a:close/>
                <a:moveTo>
                  <a:pt x="300964" y="568487"/>
                </a:moveTo>
                <a:lnTo>
                  <a:pt x="234083" y="568487"/>
                </a:lnTo>
                <a:lnTo>
                  <a:pt x="234083" y="501606"/>
                </a:lnTo>
                <a:lnTo>
                  <a:pt x="300964" y="501606"/>
                </a:lnTo>
                <a:lnTo>
                  <a:pt x="300964" y="568487"/>
                </a:lnTo>
                <a:close/>
                <a:moveTo>
                  <a:pt x="300964" y="702249"/>
                </a:moveTo>
                <a:lnTo>
                  <a:pt x="234083" y="702249"/>
                </a:lnTo>
                <a:lnTo>
                  <a:pt x="234083" y="635368"/>
                </a:lnTo>
                <a:lnTo>
                  <a:pt x="300964" y="635368"/>
                </a:lnTo>
                <a:lnTo>
                  <a:pt x="300964" y="702249"/>
                </a:lnTo>
                <a:close/>
                <a:moveTo>
                  <a:pt x="300964" y="836010"/>
                </a:moveTo>
                <a:lnTo>
                  <a:pt x="234083" y="836010"/>
                </a:lnTo>
                <a:lnTo>
                  <a:pt x="234083" y="769130"/>
                </a:lnTo>
                <a:lnTo>
                  <a:pt x="300964" y="769130"/>
                </a:lnTo>
                <a:lnTo>
                  <a:pt x="300964" y="836010"/>
                </a:lnTo>
                <a:close/>
                <a:moveTo>
                  <a:pt x="167202" y="183922"/>
                </a:moveTo>
                <a:lnTo>
                  <a:pt x="100321" y="183922"/>
                </a:lnTo>
                <a:lnTo>
                  <a:pt x="100321" y="117041"/>
                </a:lnTo>
                <a:lnTo>
                  <a:pt x="167202" y="117041"/>
                </a:lnTo>
                <a:lnTo>
                  <a:pt x="167202" y="183922"/>
                </a:lnTo>
                <a:close/>
                <a:moveTo>
                  <a:pt x="167202" y="300964"/>
                </a:moveTo>
                <a:lnTo>
                  <a:pt x="100321" y="300964"/>
                </a:lnTo>
                <a:lnTo>
                  <a:pt x="100321" y="234083"/>
                </a:lnTo>
                <a:lnTo>
                  <a:pt x="167202" y="234083"/>
                </a:lnTo>
                <a:lnTo>
                  <a:pt x="167202" y="300964"/>
                </a:lnTo>
                <a:close/>
                <a:moveTo>
                  <a:pt x="167202" y="434725"/>
                </a:moveTo>
                <a:lnTo>
                  <a:pt x="100321" y="434725"/>
                </a:lnTo>
                <a:lnTo>
                  <a:pt x="100321" y="367845"/>
                </a:lnTo>
                <a:lnTo>
                  <a:pt x="167202" y="367845"/>
                </a:lnTo>
                <a:lnTo>
                  <a:pt x="167202" y="434725"/>
                </a:lnTo>
                <a:close/>
                <a:moveTo>
                  <a:pt x="167202" y="568487"/>
                </a:moveTo>
                <a:lnTo>
                  <a:pt x="100321" y="568487"/>
                </a:lnTo>
                <a:lnTo>
                  <a:pt x="100321" y="501606"/>
                </a:lnTo>
                <a:lnTo>
                  <a:pt x="167202" y="501606"/>
                </a:lnTo>
                <a:lnTo>
                  <a:pt x="167202" y="568487"/>
                </a:lnTo>
                <a:close/>
                <a:moveTo>
                  <a:pt x="167202" y="702249"/>
                </a:moveTo>
                <a:lnTo>
                  <a:pt x="100321" y="702249"/>
                </a:lnTo>
                <a:lnTo>
                  <a:pt x="100321" y="635368"/>
                </a:lnTo>
                <a:lnTo>
                  <a:pt x="167202" y="635368"/>
                </a:lnTo>
                <a:lnTo>
                  <a:pt x="167202" y="702249"/>
                </a:lnTo>
                <a:close/>
                <a:moveTo>
                  <a:pt x="167202" y="836010"/>
                </a:moveTo>
                <a:lnTo>
                  <a:pt x="100321" y="836010"/>
                </a:lnTo>
                <a:lnTo>
                  <a:pt x="100321" y="769130"/>
                </a:lnTo>
                <a:lnTo>
                  <a:pt x="167202" y="769130"/>
                </a:lnTo>
                <a:lnTo>
                  <a:pt x="167202" y="836010"/>
                </a:lnTo>
                <a:close/>
                <a:moveTo>
                  <a:pt x="0" y="0"/>
                </a:moveTo>
                <a:lnTo>
                  <a:pt x="0" y="1003213"/>
                </a:lnTo>
                <a:lnTo>
                  <a:pt x="167202" y="1003213"/>
                </a:lnTo>
                <a:lnTo>
                  <a:pt x="167202" y="902891"/>
                </a:lnTo>
                <a:lnTo>
                  <a:pt x="234083" y="902891"/>
                </a:lnTo>
                <a:lnTo>
                  <a:pt x="234083" y="1003213"/>
                </a:lnTo>
                <a:lnTo>
                  <a:pt x="401285" y="1003213"/>
                </a:lnTo>
                <a:lnTo>
                  <a:pt x="401285" y="50161"/>
                </a:lnTo>
                <a:lnTo>
                  <a:pt x="0" y="0"/>
                </a:lnTo>
                <a:close/>
              </a:path>
            </a:pathLst>
          </a:custGeom>
          <a:solidFill>
            <a:srgbClr val="000000"/>
          </a:solidFill>
          <a:ln w="16669" cap="flat">
            <a:noFill/>
            <a:prstDash val="solid"/>
            <a:miter/>
          </a:ln>
        </xdr:spPr>
      </xdr:sp>
      <xdr:sp macro="" textlink="">
        <xdr:nvSpPr>
          <xdr:cNvPr id="38" name="Freeform: Shape 37">
            <a:extLst>
              <a:ext uri="{FF2B5EF4-FFF2-40B4-BE49-F238E27FC236}">
                <a16:creationId xmlns:a16="http://schemas.microsoft.com/office/drawing/2014/main" id="{BD183221-5802-4C72-9C82-DEA83BB19408}"/>
              </a:ext>
            </a:extLst>
          </xdr:cNvPr>
          <xdr:cNvSpPr/>
        </xdr:nvSpPr>
        <xdr:spPr>
          <a:xfrm>
            <a:off x="1426176" y="2206881"/>
            <a:ext cx="401285" cy="501606"/>
          </a:xfrm>
          <a:custGeom>
            <a:avLst/>
            <a:gdLst>
              <a:gd name="csX0" fmla="*/ 234083 w 401285"/>
              <a:gd name="csY0" fmla="*/ 234083 h 501606"/>
              <a:gd name="csX1" fmla="*/ 300964 w 401285"/>
              <a:gd name="csY1" fmla="*/ 234083 h 501606"/>
              <a:gd name="csX2" fmla="*/ 300964 w 401285"/>
              <a:gd name="csY2" fmla="*/ 300964 h 501606"/>
              <a:gd name="csX3" fmla="*/ 234083 w 401285"/>
              <a:gd name="csY3" fmla="*/ 300964 h 501606"/>
              <a:gd name="csX4" fmla="*/ 234083 w 401285"/>
              <a:gd name="csY4" fmla="*/ 234083 h 501606"/>
              <a:gd name="csX5" fmla="*/ 234083 w 401285"/>
              <a:gd name="csY5" fmla="*/ 100321 h 501606"/>
              <a:gd name="csX6" fmla="*/ 300964 w 401285"/>
              <a:gd name="csY6" fmla="*/ 100321 h 501606"/>
              <a:gd name="csX7" fmla="*/ 300964 w 401285"/>
              <a:gd name="csY7" fmla="*/ 167202 h 501606"/>
              <a:gd name="csX8" fmla="*/ 234083 w 401285"/>
              <a:gd name="csY8" fmla="*/ 167202 h 501606"/>
              <a:gd name="csX9" fmla="*/ 234083 w 401285"/>
              <a:gd name="csY9" fmla="*/ 100321 h 501606"/>
              <a:gd name="csX10" fmla="*/ 167202 w 401285"/>
              <a:gd name="csY10" fmla="*/ 167202 h 501606"/>
              <a:gd name="csX11" fmla="*/ 100321 w 401285"/>
              <a:gd name="csY11" fmla="*/ 167202 h 501606"/>
              <a:gd name="csX12" fmla="*/ 100321 w 401285"/>
              <a:gd name="csY12" fmla="*/ 100321 h 501606"/>
              <a:gd name="csX13" fmla="*/ 167202 w 401285"/>
              <a:gd name="csY13" fmla="*/ 100321 h 501606"/>
              <a:gd name="csX14" fmla="*/ 167202 w 401285"/>
              <a:gd name="csY14" fmla="*/ 167202 h 501606"/>
              <a:gd name="csX15" fmla="*/ 167202 w 401285"/>
              <a:gd name="csY15" fmla="*/ 300964 h 501606"/>
              <a:gd name="csX16" fmla="*/ 100321 w 401285"/>
              <a:gd name="csY16" fmla="*/ 300964 h 501606"/>
              <a:gd name="csX17" fmla="*/ 100321 w 401285"/>
              <a:gd name="csY17" fmla="*/ 234083 h 501606"/>
              <a:gd name="csX18" fmla="*/ 167202 w 401285"/>
              <a:gd name="csY18" fmla="*/ 234083 h 501606"/>
              <a:gd name="csX19" fmla="*/ 167202 w 401285"/>
              <a:gd name="csY19" fmla="*/ 300964 h 501606"/>
              <a:gd name="csX20" fmla="*/ 234083 w 401285"/>
              <a:gd name="csY20" fmla="*/ 501606 h 501606"/>
              <a:gd name="csX21" fmla="*/ 401285 w 401285"/>
              <a:gd name="csY21" fmla="*/ 501606 h 501606"/>
              <a:gd name="csX22" fmla="*/ 401285 w 401285"/>
              <a:gd name="csY22" fmla="*/ 0 h 501606"/>
              <a:gd name="csX23" fmla="*/ 0 w 401285"/>
              <a:gd name="csY23" fmla="*/ 0 h 501606"/>
              <a:gd name="csX24" fmla="*/ 0 w 401285"/>
              <a:gd name="csY24" fmla="*/ 367845 h 501606"/>
              <a:gd name="csX25" fmla="*/ 234083 w 401285"/>
              <a:gd name="csY25" fmla="*/ 367845 h 501606"/>
              <a:gd name="csX26" fmla="*/ 234083 w 401285"/>
              <a:gd name="csY26" fmla="*/ 501606 h 50160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Lst>
            <a:rect l="l" t="t" r="r" b="b"/>
            <a:pathLst>
              <a:path w="401285" h="501606">
                <a:moveTo>
                  <a:pt x="234083" y="234083"/>
                </a:moveTo>
                <a:lnTo>
                  <a:pt x="300964" y="234083"/>
                </a:lnTo>
                <a:lnTo>
                  <a:pt x="300964" y="300964"/>
                </a:lnTo>
                <a:lnTo>
                  <a:pt x="234083" y="300964"/>
                </a:lnTo>
                <a:lnTo>
                  <a:pt x="234083" y="234083"/>
                </a:lnTo>
                <a:close/>
                <a:moveTo>
                  <a:pt x="234083" y="100321"/>
                </a:moveTo>
                <a:lnTo>
                  <a:pt x="300964" y="100321"/>
                </a:lnTo>
                <a:lnTo>
                  <a:pt x="300964" y="167202"/>
                </a:lnTo>
                <a:lnTo>
                  <a:pt x="234083" y="167202"/>
                </a:lnTo>
                <a:lnTo>
                  <a:pt x="234083" y="100321"/>
                </a:lnTo>
                <a:close/>
                <a:moveTo>
                  <a:pt x="167202" y="167202"/>
                </a:moveTo>
                <a:lnTo>
                  <a:pt x="100321" y="167202"/>
                </a:lnTo>
                <a:lnTo>
                  <a:pt x="100321" y="100321"/>
                </a:lnTo>
                <a:lnTo>
                  <a:pt x="167202" y="100321"/>
                </a:lnTo>
                <a:lnTo>
                  <a:pt x="167202" y="167202"/>
                </a:lnTo>
                <a:close/>
                <a:moveTo>
                  <a:pt x="167202" y="300964"/>
                </a:moveTo>
                <a:lnTo>
                  <a:pt x="100321" y="300964"/>
                </a:lnTo>
                <a:lnTo>
                  <a:pt x="100321" y="234083"/>
                </a:lnTo>
                <a:lnTo>
                  <a:pt x="167202" y="234083"/>
                </a:lnTo>
                <a:lnTo>
                  <a:pt x="167202" y="300964"/>
                </a:lnTo>
                <a:close/>
                <a:moveTo>
                  <a:pt x="234083" y="501606"/>
                </a:moveTo>
                <a:lnTo>
                  <a:pt x="401285" y="501606"/>
                </a:lnTo>
                <a:lnTo>
                  <a:pt x="401285" y="0"/>
                </a:lnTo>
                <a:lnTo>
                  <a:pt x="0" y="0"/>
                </a:lnTo>
                <a:lnTo>
                  <a:pt x="0" y="367845"/>
                </a:lnTo>
                <a:lnTo>
                  <a:pt x="234083" y="367845"/>
                </a:lnTo>
                <a:lnTo>
                  <a:pt x="234083" y="501606"/>
                </a:lnTo>
                <a:close/>
              </a:path>
            </a:pathLst>
          </a:custGeom>
          <a:solidFill>
            <a:srgbClr val="000000"/>
          </a:solidFill>
          <a:ln w="16669" cap="flat">
            <a:noFill/>
            <a:prstDash val="solid"/>
            <a:miter/>
          </a:ln>
        </xdr:spPr>
      </xdr:sp>
    </xdr:grpSp>
    <xdr:clientData/>
  </xdr:twoCellAnchor>
  <xdr:twoCellAnchor editAs="oneCell">
    <xdr:from>
      <xdr:col>1</xdr:col>
      <xdr:colOff>546806</xdr:colOff>
      <xdr:row>27</xdr:row>
      <xdr:rowOff>17639</xdr:rowOff>
    </xdr:from>
    <xdr:to>
      <xdr:col>4</xdr:col>
      <xdr:colOff>46241</xdr:colOff>
      <xdr:row>38</xdr:row>
      <xdr:rowOff>81518</xdr:rowOff>
    </xdr:to>
    <xdr:pic>
      <xdr:nvPicPr>
        <xdr:cNvPr id="41" name="Graphic 40" descr="Classroom with solid fill">
          <a:hlinkClick xmlns:r="http://schemas.openxmlformats.org/officeDocument/2006/relationships" r:id="rId7"/>
          <a:extLst>
            <a:ext uri="{FF2B5EF4-FFF2-40B4-BE49-F238E27FC236}">
              <a16:creationId xmlns:a16="http://schemas.microsoft.com/office/drawing/2014/main" id="{03979256-D589-04F2-E14C-977F92383D8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99445" y="4780139"/>
          <a:ext cx="1351518" cy="1351518"/>
        </a:xfrm>
        <a:prstGeom prst="rect">
          <a:avLst/>
        </a:prstGeom>
      </xdr:spPr>
    </xdr:pic>
    <xdr:clientData/>
  </xdr:twoCellAnchor>
  <xdr:twoCellAnchor editAs="oneCell">
    <xdr:from>
      <xdr:col>1</xdr:col>
      <xdr:colOff>370415</xdr:colOff>
      <xdr:row>41</xdr:row>
      <xdr:rowOff>17638</xdr:rowOff>
    </xdr:from>
    <xdr:to>
      <xdr:col>3</xdr:col>
      <xdr:colOff>551572</xdr:colOff>
      <xdr:row>49</xdr:row>
      <xdr:rowOff>22405</xdr:rowOff>
    </xdr:to>
    <xdr:pic>
      <xdr:nvPicPr>
        <xdr:cNvPr id="43" name="Graphic 42" descr="House with solid fill">
          <a:hlinkClick xmlns:r="http://schemas.openxmlformats.org/officeDocument/2006/relationships" r:id="rId10"/>
          <a:extLst>
            <a:ext uri="{FF2B5EF4-FFF2-40B4-BE49-F238E27FC236}">
              <a16:creationId xmlns:a16="http://schemas.microsoft.com/office/drawing/2014/main" id="{5338302F-6828-4FD3-4F39-9443BBD49BB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3054" y="6596944"/>
          <a:ext cx="1415879" cy="1415878"/>
        </a:xfrm>
        <a:prstGeom prst="rect">
          <a:avLst/>
        </a:prstGeom>
      </xdr:spPr>
    </xdr:pic>
    <xdr:clientData/>
  </xdr:twoCellAnchor>
  <xdr:twoCellAnchor editAs="oneCell">
    <xdr:from>
      <xdr:col>2</xdr:col>
      <xdr:colOff>70555</xdr:colOff>
      <xdr:row>53</xdr:row>
      <xdr:rowOff>70555</xdr:rowOff>
    </xdr:from>
    <xdr:to>
      <xdr:col>4</xdr:col>
      <xdr:colOff>10368</xdr:colOff>
      <xdr:row>60</xdr:row>
      <xdr:rowOff>10368</xdr:rowOff>
    </xdr:to>
    <xdr:pic>
      <xdr:nvPicPr>
        <xdr:cNvPr id="45" name="Graphic 44" descr="Database with solid fill">
          <a:hlinkClick xmlns:r="http://schemas.openxmlformats.org/officeDocument/2006/relationships" r:id="rId13"/>
          <a:extLst>
            <a:ext uri="{FF2B5EF4-FFF2-40B4-BE49-F238E27FC236}">
              <a16:creationId xmlns:a16="http://schemas.microsoft.com/office/drawing/2014/main" id="{910DD6E8-B05B-75BA-207D-4EFE9B97198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75833" y="8766527"/>
          <a:ext cx="1174535" cy="1174535"/>
        </a:xfrm>
        <a:prstGeom prst="rect">
          <a:avLst/>
        </a:prstGeom>
      </xdr:spPr>
    </xdr:pic>
    <xdr:clientData/>
  </xdr:twoCellAnchor>
  <xdr:twoCellAnchor editAs="oneCell">
    <xdr:from>
      <xdr:col>32</xdr:col>
      <xdr:colOff>123473</xdr:colOff>
      <xdr:row>43</xdr:row>
      <xdr:rowOff>17638</xdr:rowOff>
    </xdr:from>
    <xdr:to>
      <xdr:col>41</xdr:col>
      <xdr:colOff>0</xdr:colOff>
      <xdr:row>61</xdr:row>
      <xdr:rowOff>88193</xdr:rowOff>
    </xdr:to>
    <mc:AlternateContent xmlns:mc="http://schemas.openxmlformats.org/markup-compatibility/2006" xmlns:a14="http://schemas.microsoft.com/office/drawing/2010/main">
      <mc:Choice Requires="a14">
        <xdr:graphicFrame macro="">
          <xdr:nvGraphicFramePr>
            <xdr:cNvPr id="16" name=" City 2">
              <a:extLst>
                <a:ext uri="{FF2B5EF4-FFF2-40B4-BE49-F238E27FC236}">
                  <a16:creationId xmlns:a16="http://schemas.microsoft.com/office/drawing/2014/main" id="{4370F461-0B5F-49E8-9C77-91DF5AFBC15A}"/>
                </a:ext>
              </a:extLst>
            </xdr:cNvPr>
            <xdr:cNvGraphicFramePr/>
          </xdr:nvGraphicFramePr>
          <xdr:xfrm>
            <a:off x="0" y="0"/>
            <a:ext cx="0" cy="0"/>
          </xdr:xfrm>
          <a:graphic>
            <a:graphicData uri="http://schemas.microsoft.com/office/drawing/2010/slicer">
              <sle:slicer xmlns:sle="http://schemas.microsoft.com/office/drawing/2010/slicer" name=" City 2"/>
            </a:graphicData>
          </a:graphic>
        </xdr:graphicFrame>
      </mc:Choice>
      <mc:Fallback xmlns="">
        <xdr:sp macro="" textlink="">
          <xdr:nvSpPr>
            <xdr:cNvPr id="0" name=""/>
            <xdr:cNvSpPr>
              <a:spLocks noTextEdit="1"/>
            </xdr:cNvSpPr>
          </xdr:nvSpPr>
          <xdr:spPr>
            <a:xfrm>
              <a:off x="19879029" y="6949721"/>
              <a:ext cx="5432777" cy="3245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529167</xdr:colOff>
      <xdr:row>43</xdr:row>
      <xdr:rowOff>17640</xdr:rowOff>
    </xdr:from>
    <xdr:to>
      <xdr:col>12</xdr:col>
      <xdr:colOff>440972</xdr:colOff>
      <xdr:row>63</xdr:row>
      <xdr:rowOff>105833</xdr:rowOff>
    </xdr:to>
    <xdr:graphicFrame macro="">
      <xdr:nvGraphicFramePr>
        <xdr:cNvPr id="17" name="Chart 16">
          <a:extLst>
            <a:ext uri="{FF2B5EF4-FFF2-40B4-BE49-F238E27FC236}">
              <a16:creationId xmlns:a16="http://schemas.microsoft.com/office/drawing/2014/main" id="{57173083-52E5-448D-8D87-5A154E6FD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31</xdr:col>
      <xdr:colOff>176389</xdr:colOff>
      <xdr:row>12</xdr:row>
      <xdr:rowOff>105833</xdr:rowOff>
    </xdr:from>
    <xdr:to>
      <xdr:col>47</xdr:col>
      <xdr:colOff>264584</xdr:colOff>
      <xdr:row>41</xdr:row>
      <xdr:rowOff>123472</xdr:rowOff>
    </xdr:to>
    <xdr:graphicFrame macro="">
      <xdr:nvGraphicFramePr>
        <xdr:cNvPr id="18" name="Chart 17">
          <a:extLst>
            <a:ext uri="{FF2B5EF4-FFF2-40B4-BE49-F238E27FC236}">
              <a16:creationId xmlns:a16="http://schemas.microsoft.com/office/drawing/2014/main" id="{79783A0E-1A66-49CB-9F73-BE3C29E23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564445</xdr:colOff>
      <xdr:row>22</xdr:row>
      <xdr:rowOff>70554</xdr:rowOff>
    </xdr:from>
    <xdr:to>
      <xdr:col>13</xdr:col>
      <xdr:colOff>0</xdr:colOff>
      <xdr:row>42</xdr:row>
      <xdr:rowOff>35276</xdr:rowOff>
    </xdr:to>
    <xdr:graphicFrame macro="">
      <xdr:nvGraphicFramePr>
        <xdr:cNvPr id="19" name="Chart 18">
          <a:extLst>
            <a:ext uri="{FF2B5EF4-FFF2-40B4-BE49-F238E27FC236}">
              <a16:creationId xmlns:a16="http://schemas.microsoft.com/office/drawing/2014/main" id="{A4A54A5D-333D-419B-9D23-BD35C341F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564444</xdr:colOff>
      <xdr:row>43</xdr:row>
      <xdr:rowOff>17638</xdr:rowOff>
    </xdr:from>
    <xdr:to>
      <xdr:col>31</xdr:col>
      <xdr:colOff>158749</xdr:colOff>
      <xdr:row>64</xdr:row>
      <xdr:rowOff>141110</xdr:rowOff>
    </xdr:to>
    <xdr:graphicFrame macro="">
      <xdr:nvGraphicFramePr>
        <xdr:cNvPr id="21" name="Chart 20">
          <a:extLst>
            <a:ext uri="{FF2B5EF4-FFF2-40B4-BE49-F238E27FC236}">
              <a16:creationId xmlns:a16="http://schemas.microsoft.com/office/drawing/2014/main" id="{BF92D7A8-03D1-4E2C-862D-581D78BD1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0</xdr:row>
      <xdr:rowOff>139700</xdr:rowOff>
    </xdr:from>
    <xdr:to>
      <xdr:col>5</xdr:col>
      <xdr:colOff>742950</xdr:colOff>
      <xdr:row>3</xdr:row>
      <xdr:rowOff>31750</xdr:rowOff>
    </xdr:to>
    <xdr:sp macro="" textlink="">
      <xdr:nvSpPr>
        <xdr:cNvPr id="2" name="Rectangle: Rounded Corners 1">
          <a:extLst>
            <a:ext uri="{FF2B5EF4-FFF2-40B4-BE49-F238E27FC236}">
              <a16:creationId xmlns:a16="http://schemas.microsoft.com/office/drawing/2014/main" id="{3B9D4A60-644B-D9E7-008F-EE7ABF80263F}"/>
            </a:ext>
          </a:extLst>
        </xdr:cNvPr>
        <xdr:cNvSpPr/>
      </xdr:nvSpPr>
      <xdr:spPr>
        <a:xfrm>
          <a:off x="2895600" y="139700"/>
          <a:ext cx="3746500" cy="444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lt1"/>
              </a:solidFill>
              <a:latin typeface="Bahnschrift SemiBold Condensed" panose="020B0502040204020203" pitchFamily="34" charset="0"/>
              <a:ea typeface="+mn-ea"/>
              <a:cs typeface="+mn-cs"/>
            </a:rPr>
            <a:t>SALES</a:t>
          </a:r>
          <a:r>
            <a:rPr lang="en-IN" sz="1400" baseline="0"/>
            <a:t> </a:t>
          </a:r>
          <a:r>
            <a:rPr lang="en-IN" sz="2800">
              <a:solidFill>
                <a:schemeClr val="lt1"/>
              </a:solidFill>
              <a:latin typeface="Bahnschrift SemiBold Condensed" panose="020B0502040204020203" pitchFamily="34" charset="0"/>
              <a:ea typeface="+mn-ea"/>
              <a:cs typeface="+mn-cs"/>
            </a:rPr>
            <a:t>DETAILS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996950</xdr:colOff>
      <xdr:row>0</xdr:row>
      <xdr:rowOff>63500</xdr:rowOff>
    </xdr:from>
    <xdr:to>
      <xdr:col>7</xdr:col>
      <xdr:colOff>133350</xdr:colOff>
      <xdr:row>3</xdr:row>
      <xdr:rowOff>25400</xdr:rowOff>
    </xdr:to>
    <xdr:sp macro="" textlink="">
      <xdr:nvSpPr>
        <xdr:cNvPr id="2" name="Rectangle: Rounded Corners 1">
          <a:extLst>
            <a:ext uri="{FF2B5EF4-FFF2-40B4-BE49-F238E27FC236}">
              <a16:creationId xmlns:a16="http://schemas.microsoft.com/office/drawing/2014/main" id="{4FEB90F0-6D35-8846-A513-82362C53925C}"/>
            </a:ext>
          </a:extLst>
        </xdr:cNvPr>
        <xdr:cNvSpPr/>
      </xdr:nvSpPr>
      <xdr:spPr>
        <a:xfrm>
          <a:off x="3352800" y="63500"/>
          <a:ext cx="3898900"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Bahnschrift SemiBold Condensed" panose="020B0502040204020203" pitchFamily="34" charset="0"/>
            </a:rPr>
            <a:t>TOTAL</a:t>
          </a:r>
          <a:r>
            <a:rPr lang="en-IN" sz="2800" baseline="0">
              <a:latin typeface="Bahnschrift SemiBold Condensed" panose="020B0502040204020203" pitchFamily="34" charset="0"/>
            </a:rPr>
            <a:t> SALES BY CITY</a:t>
          </a:r>
          <a:endParaRPr lang="en-IN" sz="2800">
            <a:latin typeface="Bahnschrift SemiBold Condensed"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antham" refreshedDate="46023.839877893515" createdVersion="8" refreshedVersion="8" minRefreshableVersion="3" recordCount="20" xr:uid="{76DE5DC6-AE8C-429F-8320-DD026817AF30}">
  <cacheSource type="worksheet">
    <worksheetSource name="Table1"/>
  </cacheSource>
  <cacheFields count="9">
    <cacheField name="Order_ID " numFmtId="0">
      <sharedItems count="20">
        <s v="O001 "/>
        <s v="O002 "/>
        <s v="O003 "/>
        <s v="O004 "/>
        <s v="O005 "/>
        <s v="O006 "/>
        <s v="O007 "/>
        <s v="O008 "/>
        <s v="O009 "/>
        <s v="O010 "/>
        <s v="O011 "/>
        <s v="O012 "/>
        <s v="O013 "/>
        <s v="O014 "/>
        <s v="O015 "/>
        <s v="O016 "/>
        <s v="O017 "/>
        <s v="O018 "/>
        <s v="O019 "/>
        <s v="O020 "/>
      </sharedItems>
    </cacheField>
    <cacheField name=" Date " numFmtId="0">
      <sharedItems count="11">
        <s v=" 01-01-2024 "/>
        <s v=" 02-01-2024 "/>
        <s v=" 03-01-2024 "/>
        <s v=" 04-01-2024 "/>
        <s v=" 05-01-2024 "/>
        <s v=" 06-01-2024 "/>
        <s v=" 07-01-2024 "/>
        <s v=" 08-01-2024 "/>
        <s v=" 09-01-2024 "/>
        <s v=" 10-01-2024 "/>
        <s v=" 11-01-2024 "/>
      </sharedItems>
    </cacheField>
    <cacheField name=" Product " numFmtId="0">
      <sharedItems count="20">
        <s v=" Rice       "/>
        <s v=" Milk       "/>
        <s v=" Bread      "/>
        <s v=" Apple      "/>
        <s v=" Soap       "/>
        <s v=" Shampoo    "/>
        <s v=" Tomato     "/>
        <s v=" Cheese     "/>
        <s v=" Biscuit    "/>
        <s v=" Banana     "/>
        <s v=" Sugar      "/>
        <s v=" Butter     "/>
        <s v=" Facewash   "/>
        <s v=" Onion      "/>
        <s v=" Cake       "/>
        <s v=" Orange     "/>
        <s v=" Toothpaste "/>
        <s v=" Curd       "/>
        <s v=" Wheat      "/>
        <s v=" Potato     "/>
      </sharedItems>
    </cacheField>
    <cacheField name=" Category " numFmtId="0">
      <sharedItems count="6">
        <s v=" Grocery    "/>
        <s v=" Dairy      "/>
        <s v=" Bakery     "/>
        <s v=" Fruits     "/>
        <s v=" Personal   "/>
        <s v=" Vegetables "/>
      </sharedItems>
    </cacheField>
    <cacheField name=" Quantity " numFmtId="0">
      <sharedItems containsSemiMixedTypes="0" containsString="0" containsNumber="1" containsInteger="1" minValue="1" maxValue="6" count="6">
        <n v="2"/>
        <n v="5"/>
        <n v="3"/>
        <n v="4"/>
        <n v="6"/>
        <n v="1"/>
      </sharedItems>
    </cacheField>
    <cacheField name=" Price " numFmtId="0">
      <sharedItems containsSemiMixedTypes="0" containsString="0" containsNumber="1" containsInteger="1" minValue="30" maxValue="1200"/>
    </cacheField>
    <cacheField name=" Total_Sales " numFmtId="0">
      <sharedItems containsSemiMixedTypes="0" containsString="0" containsNumber="1" containsInteger="1" minValue="120" maxValue="2400"/>
    </cacheField>
    <cacheField name=" Payment_Mode " numFmtId="0">
      <sharedItems count="3">
        <s v=" Cash "/>
        <s v=" UPI  "/>
        <s v=" Card "/>
      </sharedItems>
    </cacheField>
    <cacheField name=" City" numFmtId="0">
      <sharedItems count="3">
        <s v=" Trichy"/>
        <s v=" Madurai"/>
        <s v=" Chennai"/>
      </sharedItems>
    </cacheField>
  </cacheFields>
  <extLst>
    <ext xmlns:x14="http://schemas.microsoft.com/office/spreadsheetml/2009/9/main" uri="{725AE2AE-9491-48be-B2B4-4EB974FC3084}">
      <x14:pivotCacheDefinition pivotCacheId="1476862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n v="1200"/>
    <n v="2400"/>
    <x v="0"/>
    <x v="0"/>
  </r>
  <r>
    <x v="1"/>
    <x v="1"/>
    <x v="1"/>
    <x v="1"/>
    <x v="1"/>
    <n v="40"/>
    <n v="200"/>
    <x v="1"/>
    <x v="0"/>
  </r>
  <r>
    <x v="2"/>
    <x v="1"/>
    <x v="2"/>
    <x v="2"/>
    <x v="2"/>
    <n v="50"/>
    <n v="150"/>
    <x v="2"/>
    <x v="1"/>
  </r>
  <r>
    <x v="3"/>
    <x v="2"/>
    <x v="3"/>
    <x v="3"/>
    <x v="3"/>
    <n v="150"/>
    <n v="600"/>
    <x v="0"/>
    <x v="2"/>
  </r>
  <r>
    <x v="4"/>
    <x v="2"/>
    <x v="4"/>
    <x v="4"/>
    <x v="4"/>
    <n v="35"/>
    <n v="210"/>
    <x v="1"/>
    <x v="0"/>
  </r>
  <r>
    <x v="5"/>
    <x v="3"/>
    <x v="5"/>
    <x v="4"/>
    <x v="0"/>
    <n v="180"/>
    <n v="360"/>
    <x v="2"/>
    <x v="1"/>
  </r>
  <r>
    <x v="6"/>
    <x v="4"/>
    <x v="6"/>
    <x v="5"/>
    <x v="2"/>
    <n v="40"/>
    <n v="120"/>
    <x v="0"/>
    <x v="2"/>
  </r>
  <r>
    <x v="7"/>
    <x v="4"/>
    <x v="7"/>
    <x v="1"/>
    <x v="5"/>
    <n v="250"/>
    <n v="250"/>
    <x v="2"/>
    <x v="0"/>
  </r>
  <r>
    <x v="8"/>
    <x v="5"/>
    <x v="8"/>
    <x v="2"/>
    <x v="1"/>
    <n v="30"/>
    <n v="150"/>
    <x v="1"/>
    <x v="1"/>
  </r>
  <r>
    <x v="9"/>
    <x v="5"/>
    <x v="9"/>
    <x v="3"/>
    <x v="4"/>
    <n v="60"/>
    <n v="360"/>
    <x v="0"/>
    <x v="0"/>
  </r>
  <r>
    <x v="10"/>
    <x v="6"/>
    <x v="10"/>
    <x v="0"/>
    <x v="0"/>
    <n v="90"/>
    <n v="180"/>
    <x v="1"/>
    <x v="2"/>
  </r>
  <r>
    <x v="11"/>
    <x v="6"/>
    <x v="11"/>
    <x v="1"/>
    <x v="5"/>
    <n v="220"/>
    <n v="220"/>
    <x v="2"/>
    <x v="1"/>
  </r>
  <r>
    <x v="12"/>
    <x v="7"/>
    <x v="12"/>
    <x v="4"/>
    <x v="0"/>
    <n v="150"/>
    <n v="300"/>
    <x v="0"/>
    <x v="0"/>
  </r>
  <r>
    <x v="13"/>
    <x v="7"/>
    <x v="13"/>
    <x v="5"/>
    <x v="3"/>
    <n v="35"/>
    <n v="140"/>
    <x v="1"/>
    <x v="2"/>
  </r>
  <r>
    <x v="14"/>
    <x v="8"/>
    <x v="14"/>
    <x v="2"/>
    <x v="5"/>
    <n v="400"/>
    <n v="400"/>
    <x v="2"/>
    <x v="0"/>
  </r>
  <r>
    <x v="15"/>
    <x v="8"/>
    <x v="15"/>
    <x v="3"/>
    <x v="1"/>
    <n v="80"/>
    <n v="400"/>
    <x v="0"/>
    <x v="1"/>
  </r>
  <r>
    <x v="16"/>
    <x v="9"/>
    <x v="16"/>
    <x v="4"/>
    <x v="2"/>
    <n v="90"/>
    <n v="270"/>
    <x v="1"/>
    <x v="2"/>
  </r>
  <r>
    <x v="17"/>
    <x v="9"/>
    <x v="17"/>
    <x v="1"/>
    <x v="0"/>
    <n v="60"/>
    <n v="120"/>
    <x v="0"/>
    <x v="0"/>
  </r>
  <r>
    <x v="18"/>
    <x v="10"/>
    <x v="18"/>
    <x v="0"/>
    <x v="5"/>
    <n v="600"/>
    <n v="600"/>
    <x v="2"/>
    <x v="1"/>
  </r>
  <r>
    <x v="19"/>
    <x v="10"/>
    <x v="19"/>
    <x v="5"/>
    <x v="1"/>
    <n v="30"/>
    <n v="15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D068D6-513D-4748-92B8-BEEDA45A125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7:C20" firstHeaderRow="1" firstDataRow="1" firstDataCol="1"/>
  <pivotFields count="9">
    <pivotField dataField="1" showAll="0"/>
    <pivotField showAll="0"/>
    <pivotField showAll="0"/>
    <pivotField showAll="0"/>
    <pivotField showAll="0"/>
    <pivotField showAll="0"/>
    <pivotField showAll="0"/>
    <pivotField axis="axisRow" showAll="0">
      <items count="4">
        <item x="2"/>
        <item x="0"/>
        <item x="1"/>
        <item t="default"/>
      </items>
    </pivotField>
    <pivotField showAll="0">
      <items count="4">
        <item x="2"/>
        <item h="1" x="1"/>
        <item h="1" x="0"/>
        <item t="default"/>
      </items>
    </pivotField>
  </pivotFields>
  <rowFields count="1">
    <field x="7"/>
  </rowFields>
  <rowItems count="3">
    <i>
      <x v="1"/>
    </i>
    <i>
      <x v="2"/>
    </i>
    <i t="grand">
      <x/>
    </i>
  </rowItems>
  <colItems count="1">
    <i/>
  </colItems>
  <dataFields count="1">
    <dataField name="Count of Order_ID " fld="0" subtotal="count" baseField="0" baseItem="0"/>
  </dataFields>
  <chartFormats count="24">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1"/>
          </reference>
        </references>
      </pivotArea>
    </chartFormat>
    <chartFormat chart="6" format="12">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 chart="3" format="6">
      <pivotArea type="data" outline="0" fieldPosition="0">
        <references count="2">
          <reference field="4294967294" count="1" selected="0">
            <x v="0"/>
          </reference>
          <reference field="7" count="1" selected="0">
            <x v="2"/>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1"/>
          </reference>
        </references>
      </pivotArea>
    </chartFormat>
    <chartFormat chart="13" format="12">
      <pivotArea type="data" outline="0" fieldPosition="0">
        <references count="2">
          <reference field="4294967294" count="1" selected="0">
            <x v="0"/>
          </reference>
          <reference field="7" count="1" selected="0">
            <x v="2"/>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7" count="1" selected="0">
            <x v="0"/>
          </reference>
        </references>
      </pivotArea>
    </chartFormat>
    <chartFormat chart="14" format="15">
      <pivotArea type="data" outline="0" fieldPosition="0">
        <references count="2">
          <reference field="4294967294" count="1" selected="0">
            <x v="0"/>
          </reference>
          <reference field="7" count="1" selected="0">
            <x v="1"/>
          </reference>
        </references>
      </pivotArea>
    </chartFormat>
    <chartFormat chart="14" format="16">
      <pivotArea type="data" outline="0" fieldPosition="0">
        <references count="2">
          <reference field="4294967294" count="1" selected="0">
            <x v="0"/>
          </reference>
          <reference field="7" count="1" selected="0">
            <x v="2"/>
          </reference>
        </references>
      </pivotArea>
    </chartFormat>
    <chartFormat chart="15" format="17"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7" count="1" selected="0">
            <x v="0"/>
          </reference>
        </references>
      </pivotArea>
    </chartFormat>
    <chartFormat chart="15" format="19">
      <pivotArea type="data" outline="0" fieldPosition="0">
        <references count="2">
          <reference field="4294967294" count="1" selected="0">
            <x v="0"/>
          </reference>
          <reference field="7" count="1" selected="0">
            <x v="1"/>
          </reference>
        </references>
      </pivotArea>
    </chartFormat>
    <chartFormat chart="15" format="2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AD4DA4-7F53-44E5-8E99-5060A1A1824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 ">
  <location ref="F15:G20" firstHeaderRow="1" firstDataRow="1" firstDataCol="1"/>
  <pivotFields count="9">
    <pivotField showAll="0"/>
    <pivotField showAll="0"/>
    <pivotField showAll="0"/>
    <pivotField axis="axisRow" showAll="0">
      <items count="7">
        <item x="2"/>
        <item x="1"/>
        <item x="3"/>
        <item x="0"/>
        <item x="4"/>
        <item x="5"/>
        <item t="default"/>
      </items>
    </pivotField>
    <pivotField dataField="1" showAll="0">
      <items count="7">
        <item x="5"/>
        <item x="0"/>
        <item x="2"/>
        <item x="3"/>
        <item x="1"/>
        <item x="4"/>
        <item t="default"/>
      </items>
    </pivotField>
    <pivotField showAll="0"/>
    <pivotField showAll="0"/>
    <pivotField showAll="0"/>
    <pivotField showAll="0">
      <items count="4">
        <item x="2"/>
        <item h="1" x="1"/>
        <item h="1" x="0"/>
        <item t="default"/>
      </items>
    </pivotField>
  </pivotFields>
  <rowFields count="1">
    <field x="3"/>
  </rowFields>
  <rowItems count="5">
    <i>
      <x v="2"/>
    </i>
    <i>
      <x v="3"/>
    </i>
    <i>
      <x v="4"/>
    </i>
    <i>
      <x v="5"/>
    </i>
    <i t="grand">
      <x/>
    </i>
  </rowItems>
  <colItems count="1">
    <i/>
  </colItems>
  <dataFields count="1">
    <dataField name="Sum of  Quantity " fld="4" baseField="0" baseItem="0"/>
  </dataFields>
  <chartFormats count="9">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5"/>
          </reference>
        </references>
      </pivotArea>
    </chartFormat>
    <chartFormat chart="6" format="4">
      <pivotArea type="data" outline="0" fieldPosition="0">
        <references count="2">
          <reference field="4294967294" count="1" selected="0">
            <x v="0"/>
          </reference>
          <reference field="3" count="1" selected="0">
            <x v="4"/>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407BA7-B691-4CBA-81C7-E0E31529743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 ">
  <location ref="H6:I8" firstHeaderRow="1" firstDataRow="1" firstDataCol="1"/>
  <pivotFields count="9">
    <pivotField showAll="0"/>
    <pivotField showAll="0"/>
    <pivotField showAll="0"/>
    <pivotField showAll="0"/>
    <pivotField showAll="0"/>
    <pivotField showAll="0"/>
    <pivotField dataField="1" showAll="0"/>
    <pivotField showAll="0"/>
    <pivotField axis="axisRow" showAll="0">
      <items count="4">
        <item x="2"/>
        <item h="1" x="1"/>
        <item h="1" x="0"/>
        <item t="default"/>
      </items>
    </pivotField>
  </pivotFields>
  <rowFields count="1">
    <field x="8"/>
  </rowFields>
  <rowItems count="2">
    <i>
      <x/>
    </i>
    <i t="grand">
      <x/>
    </i>
  </rowItems>
  <colItems count="1">
    <i/>
  </colItems>
  <dataFields count="1">
    <dataField name="Sum of  Total_Sales " fld="6" baseField="0" baseItem="0"/>
  </dataFields>
  <chartFormats count="4">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6D4632-8EC5-4EB8-968D-256ADF966D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6:F12" firstHeaderRow="1" firstDataRow="1" firstDataCol="1"/>
  <pivotFields count="9">
    <pivotField showAll="0"/>
    <pivotField showAll="0"/>
    <pivotField axis="axisRow" showAll="0" measureFilter="1">
      <items count="21">
        <item x="3"/>
        <item x="9"/>
        <item x="8"/>
        <item x="2"/>
        <item x="11"/>
        <item x="14"/>
        <item x="7"/>
        <item x="17"/>
        <item x="12"/>
        <item x="1"/>
        <item x="13"/>
        <item x="15"/>
        <item x="19"/>
        <item x="0"/>
        <item x="5"/>
        <item x="4"/>
        <item x="10"/>
        <item x="6"/>
        <item x="16"/>
        <item x="18"/>
        <item t="default"/>
      </items>
    </pivotField>
    <pivotField showAll="0"/>
    <pivotField showAll="0"/>
    <pivotField showAll="0"/>
    <pivotField dataField="1" showAll="0"/>
    <pivotField showAll="0"/>
    <pivotField showAll="0">
      <items count="4">
        <item x="2"/>
        <item h="1" x="1"/>
        <item h="1" x="0"/>
        <item t="default"/>
      </items>
    </pivotField>
  </pivotFields>
  <rowFields count="1">
    <field x="2"/>
  </rowFields>
  <rowItems count="6">
    <i>
      <x/>
    </i>
    <i>
      <x v="10"/>
    </i>
    <i>
      <x v="16"/>
    </i>
    <i>
      <x v="17"/>
    </i>
    <i>
      <x v="18"/>
    </i>
    <i t="grand">
      <x/>
    </i>
  </rowItems>
  <colItems count="1">
    <i/>
  </colItems>
  <dataFields count="1">
    <dataField name="Sum of  Total_Sales " fld="6" baseField="0" baseItem="0"/>
  </dataFields>
  <chartFormats count="19">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5"/>
          </reference>
        </references>
      </pivotArea>
    </chartFormat>
    <chartFormat chart="12" format="9">
      <pivotArea type="data" outline="0" fieldPosition="0">
        <references count="2">
          <reference field="4294967294" count="1" selected="0">
            <x v="0"/>
          </reference>
          <reference field="2" count="1" selected="0">
            <x v="11"/>
          </reference>
        </references>
      </pivotArea>
    </chartFormat>
    <chartFormat chart="12" format="10">
      <pivotArea type="data" outline="0" fieldPosition="0">
        <references count="2">
          <reference field="4294967294" count="1" selected="0">
            <x v="0"/>
          </reference>
          <reference field="2" count="1" selected="0">
            <x v="13"/>
          </reference>
        </references>
      </pivotArea>
    </chartFormat>
    <chartFormat chart="12" format="11">
      <pivotArea type="data" outline="0" fieldPosition="0">
        <references count="2">
          <reference field="4294967294" count="1" selected="0">
            <x v="0"/>
          </reference>
          <reference field="2" count="1" selected="0">
            <x v="19"/>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2" count="1" selected="0">
            <x v="0"/>
          </reference>
        </references>
      </pivotArea>
    </chartFormat>
    <chartFormat chart="14" format="14">
      <pivotArea type="data" outline="0" fieldPosition="0">
        <references count="2">
          <reference field="4294967294" count="1" selected="0">
            <x v="0"/>
          </reference>
          <reference field="2" count="1" selected="0">
            <x v="5"/>
          </reference>
        </references>
      </pivotArea>
    </chartFormat>
    <chartFormat chart="14" format="15">
      <pivotArea type="data" outline="0" fieldPosition="0">
        <references count="2">
          <reference field="4294967294" count="1" selected="0">
            <x v="0"/>
          </reference>
          <reference field="2" count="1" selected="0">
            <x v="11"/>
          </reference>
        </references>
      </pivotArea>
    </chartFormat>
    <chartFormat chart="14" format="16">
      <pivotArea type="data" outline="0" fieldPosition="0">
        <references count="2">
          <reference field="4294967294" count="1" selected="0">
            <x v="0"/>
          </reference>
          <reference field="2" count="1" selected="0">
            <x v="13"/>
          </reference>
        </references>
      </pivotArea>
    </chartFormat>
    <chartFormat chart="14" format="17">
      <pivotArea type="data" outline="0" fieldPosition="0">
        <references count="2">
          <reference field="4294967294" count="1" selected="0">
            <x v="0"/>
          </reference>
          <reference field="2" count="1" selected="0">
            <x v="19"/>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2" count="1" selected="0">
            <x v="0"/>
          </reference>
        </references>
      </pivotArea>
    </chartFormat>
    <chartFormat chart="16" format="20">
      <pivotArea type="data" outline="0" fieldPosition="0">
        <references count="2">
          <reference field="4294967294" count="1" selected="0">
            <x v="0"/>
          </reference>
          <reference field="2" count="1" selected="0">
            <x v="5"/>
          </reference>
        </references>
      </pivotArea>
    </chartFormat>
    <chartFormat chart="16" format="21">
      <pivotArea type="data" outline="0" fieldPosition="0">
        <references count="2">
          <reference field="4294967294" count="1" selected="0">
            <x v="0"/>
          </reference>
          <reference field="2" count="1" selected="0">
            <x v="11"/>
          </reference>
        </references>
      </pivotArea>
    </chartFormat>
    <chartFormat chart="16" format="22">
      <pivotArea type="data" outline="0" fieldPosition="0">
        <references count="2">
          <reference field="4294967294" count="1" selected="0">
            <x v="0"/>
          </reference>
          <reference field="2" count="1" selected="0">
            <x v="13"/>
          </reference>
        </references>
      </pivotArea>
    </chartFormat>
    <chartFormat chart="16" format="23">
      <pivotArea type="data" outline="0" fieldPosition="0">
        <references count="2">
          <reference field="4294967294" count="1" selected="0">
            <x v="0"/>
          </reference>
          <reference field="2" count="1" selected="0">
            <x v="19"/>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EEF67A-BBD6-4152-ACF5-0B1680FB31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C7:D12" firstHeaderRow="1" firstDataRow="1" firstDataCol="1"/>
  <pivotFields count="9">
    <pivotField showAll="0"/>
    <pivotField showAll="0"/>
    <pivotField showAll="0"/>
    <pivotField axis="axisRow" showAll="0">
      <items count="7">
        <item x="2"/>
        <item x="1"/>
        <item x="3"/>
        <item x="0"/>
        <item x="4"/>
        <item x="5"/>
        <item t="default"/>
      </items>
    </pivotField>
    <pivotField showAll="0"/>
    <pivotField showAll="0"/>
    <pivotField dataField="1" showAll="0"/>
    <pivotField showAll="0"/>
    <pivotField showAll="0">
      <items count="4">
        <item x="2"/>
        <item h="1" x="1"/>
        <item h="1" x="0"/>
        <item t="default"/>
      </items>
    </pivotField>
  </pivotFields>
  <rowFields count="1">
    <field x="3"/>
  </rowFields>
  <rowItems count="5">
    <i>
      <x v="2"/>
    </i>
    <i>
      <x v="3"/>
    </i>
    <i>
      <x v="4"/>
    </i>
    <i>
      <x v="5"/>
    </i>
    <i t="grand">
      <x/>
    </i>
  </rowItems>
  <colItems count="1">
    <i/>
  </colItems>
  <dataFields count="1">
    <dataField name="Sum of  Total_Sales " fld="6" baseField="0" baseItem="0"/>
  </dataFields>
  <chartFormats count="2">
    <chartFormat chart="37"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BF03D6-E4FA-4EC1-B88B-B6A6AA539F3C}"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19" firstHeaderRow="1" firstDataRow="1" firstDataCol="1"/>
  <pivotFields count="9">
    <pivotField dataField="1" showAll="0">
      <items count="21">
        <item x="0"/>
        <item x="1"/>
        <item x="2"/>
        <item x="3"/>
        <item x="4"/>
        <item x="5"/>
        <item x="6"/>
        <item x="7"/>
        <item x="8"/>
        <item x="9"/>
        <item x="10"/>
        <item x="11"/>
        <item x="12"/>
        <item x="13"/>
        <item x="14"/>
        <item x="15"/>
        <item x="16"/>
        <item x="17"/>
        <item x="18"/>
        <item x="19"/>
        <item t="default"/>
      </items>
    </pivotField>
    <pivotField showAll="0">
      <items count="12">
        <item x="0"/>
        <item x="1"/>
        <item x="2"/>
        <item x="3"/>
        <item x="4"/>
        <item x="5"/>
        <item x="6"/>
        <item x="7"/>
        <item x="8"/>
        <item x="9"/>
        <item x="10"/>
        <item t="default"/>
      </items>
    </pivotField>
    <pivotField showAll="0"/>
    <pivotField showAll="0">
      <items count="7">
        <item x="2"/>
        <item x="1"/>
        <item x="3"/>
        <item x="0"/>
        <item x="4"/>
        <item x="5"/>
        <item t="default"/>
      </items>
    </pivotField>
    <pivotField showAll="0"/>
    <pivotField showAll="0"/>
    <pivotField showAll="0"/>
    <pivotField axis="axisRow" showAll="0">
      <items count="4">
        <item x="2"/>
        <item x="0"/>
        <item x="1"/>
        <item t="default"/>
      </items>
    </pivotField>
    <pivotField showAll="0">
      <items count="4">
        <item h="1" x="2"/>
        <item x="1"/>
        <item x="0"/>
        <item t="default"/>
      </items>
    </pivotField>
  </pivotFields>
  <rowFields count="1">
    <field x="7"/>
  </rowFields>
  <rowItems count="4">
    <i>
      <x/>
    </i>
    <i>
      <x v="1"/>
    </i>
    <i>
      <x v="2"/>
    </i>
    <i t="grand">
      <x/>
    </i>
  </rowItems>
  <colItems count="1">
    <i/>
  </colItems>
  <dataFields count="1">
    <dataField name="Count of Order_ID "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5DFE62-2EB1-492E-A95D-B7447F642C9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6:E13" firstHeaderRow="1" firstDataRow="1" firstDataCol="1"/>
  <pivotFields count="9">
    <pivotField showAll="0"/>
    <pivotField showAll="0"/>
    <pivotField showAll="0">
      <items count="21">
        <item x="3"/>
        <item x="9"/>
        <item x="8"/>
        <item x="2"/>
        <item x="11"/>
        <item x="14"/>
        <item x="7"/>
        <item x="17"/>
        <item x="12"/>
        <item x="1"/>
        <item x="13"/>
        <item x="15"/>
        <item x="19"/>
        <item x="0"/>
        <item x="5"/>
        <item x="4"/>
        <item x="10"/>
        <item x="6"/>
        <item x="16"/>
        <item x="18"/>
        <item t="default"/>
      </items>
    </pivotField>
    <pivotField axis="axisRow" showAll="0">
      <items count="7">
        <item x="2"/>
        <item x="1"/>
        <item x="3"/>
        <item x="0"/>
        <item x="4"/>
        <item x="5"/>
        <item t="default"/>
      </items>
    </pivotField>
    <pivotField showAll="0"/>
    <pivotField showAll="0"/>
    <pivotField dataField="1" showAll="0"/>
    <pivotField showAll="0"/>
    <pivotField showAll="0">
      <items count="4">
        <item h="1" x="2"/>
        <item x="1"/>
        <item x="0"/>
        <item t="default"/>
      </items>
    </pivotField>
  </pivotFields>
  <rowFields count="1">
    <field x="3"/>
  </rowFields>
  <rowItems count="7">
    <i>
      <x/>
    </i>
    <i>
      <x v="1"/>
    </i>
    <i>
      <x v="2"/>
    </i>
    <i>
      <x v="3"/>
    </i>
    <i>
      <x v="4"/>
    </i>
    <i>
      <x v="5"/>
    </i>
    <i t="grand">
      <x/>
    </i>
  </rowItems>
  <colItems count="1">
    <i/>
  </colItems>
  <dataFields count="1">
    <dataField name="Sum of  Total_Sales " fld="6" baseField="0" baseItem="0"/>
  </dataFields>
  <formats count="5">
    <format dxfId="4">
      <pivotArea type="all" dataOnly="0" outline="0" fieldPosition="0"/>
    </format>
    <format dxfId="3">
      <pivotArea outline="0" collapsedLevelsAreSubtotals="1" fieldPosition="0"/>
    </format>
    <format dxfId="2">
      <pivotArea field="2" type="button" dataOnly="0" labelOnly="1" outline="0"/>
    </format>
    <format dxfId="1">
      <pivotArea dataOnly="0" labelOnly="1" grandRow="1" outline="0" fieldPosition="0"/>
    </format>
    <format dxfId="0">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A67E6D-826A-4C40-8E2C-29B3E7914E1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B27" firstHeaderRow="1" firstDataRow="1" firstDataCol="1"/>
  <pivotFields count="9">
    <pivotField showAll="0"/>
    <pivotField showAll="0"/>
    <pivotField axis="axisRow" showAll="0">
      <items count="21">
        <item x="3"/>
        <item x="9"/>
        <item x="8"/>
        <item x="2"/>
        <item x="11"/>
        <item x="14"/>
        <item x="7"/>
        <item x="17"/>
        <item x="12"/>
        <item x="1"/>
        <item x="13"/>
        <item x="15"/>
        <item x="19"/>
        <item x="0"/>
        <item x="5"/>
        <item x="4"/>
        <item x="10"/>
        <item x="6"/>
        <item x="16"/>
        <item x="18"/>
        <item t="default"/>
      </items>
    </pivotField>
    <pivotField showAll="0"/>
    <pivotField showAll="0"/>
    <pivotField showAll="0"/>
    <pivotField dataField="1" showAll="0"/>
    <pivotField showAll="0"/>
    <pivotField showAll="0">
      <items count="4">
        <item h="1" x="2"/>
        <item x="1"/>
        <item x="0"/>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Sales " fld="6" baseField="0" baseItem="0"/>
  </dataFields>
  <formats count="5">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grandRow="1" outline="0" fieldPosition="0"/>
    </format>
    <format dxfId="5">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1D9B98-3AD9-4E30-91F0-81C770AFE37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K11" firstHeaderRow="1" firstDataRow="1" firstDataCol="1"/>
  <pivotFields count="9">
    <pivotField dataField="1" showAll="0">
      <items count="21">
        <item x="0"/>
        <item x="1"/>
        <item x="2"/>
        <item x="3"/>
        <item x="4"/>
        <item x="5"/>
        <item x="6"/>
        <item x="7"/>
        <item x="8"/>
        <item x="9"/>
        <item x="10"/>
        <item x="11"/>
        <item x="12"/>
        <item x="13"/>
        <item x="14"/>
        <item x="15"/>
        <item x="16"/>
        <item x="17"/>
        <item x="18"/>
        <item x="19"/>
        <item t="default"/>
      </items>
    </pivotField>
    <pivotField showAll="0">
      <items count="12">
        <item x="0"/>
        <item x="1"/>
        <item x="2"/>
        <item x="3"/>
        <item x="4"/>
        <item x="5"/>
        <item x="6"/>
        <item x="7"/>
        <item x="8"/>
        <item x="9"/>
        <item x="10"/>
        <item t="default"/>
      </items>
    </pivotField>
    <pivotField showAll="0"/>
    <pivotField showAll="0">
      <items count="7">
        <item x="2"/>
        <item x="1"/>
        <item x="3"/>
        <item x="0"/>
        <item x="4"/>
        <item x="5"/>
        <item t="default"/>
      </items>
    </pivotField>
    <pivotField showAll="0"/>
    <pivotField showAll="0"/>
    <pivotField showAll="0"/>
    <pivotField showAll="0"/>
    <pivotField axis="axisRow" showAll="0">
      <items count="4">
        <item h="1" x="2"/>
        <item h="1" x="1"/>
        <item x="0"/>
        <item t="default"/>
      </items>
    </pivotField>
  </pivotFields>
  <rowFields count="1">
    <field x="8"/>
  </rowFields>
  <rowItems count="2">
    <i>
      <x v="2"/>
    </i>
    <i t="grand">
      <x/>
    </i>
  </rowItems>
  <colItems count="1">
    <i/>
  </colItems>
  <dataFields count="1">
    <dataField name="Count of Order_ID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F46A7D-5C49-4D02-B9E6-C1A537713B4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1" firstHeaderRow="1" firstDataRow="1" firstDataCol="1"/>
  <pivotFields count="9">
    <pivotField showAll="0">
      <items count="21">
        <item x="0"/>
        <item x="1"/>
        <item x="2"/>
        <item x="3"/>
        <item x="4"/>
        <item x="5"/>
        <item x="6"/>
        <item x="7"/>
        <item x="8"/>
        <item x="9"/>
        <item x="10"/>
        <item x="11"/>
        <item x="12"/>
        <item x="13"/>
        <item x="14"/>
        <item x="15"/>
        <item x="16"/>
        <item x="17"/>
        <item x="18"/>
        <item x="19"/>
        <item t="default"/>
      </items>
    </pivotField>
    <pivotField showAll="0">
      <items count="12">
        <item x="0"/>
        <item x="1"/>
        <item x="2"/>
        <item x="3"/>
        <item x="4"/>
        <item x="5"/>
        <item x="6"/>
        <item x="7"/>
        <item x="8"/>
        <item x="9"/>
        <item x="10"/>
        <item t="default"/>
      </items>
    </pivotField>
    <pivotField dataField="1" showAll="0"/>
    <pivotField showAll="0">
      <items count="7">
        <item x="2"/>
        <item x="1"/>
        <item x="3"/>
        <item x="0"/>
        <item x="4"/>
        <item x="5"/>
        <item t="default"/>
      </items>
    </pivotField>
    <pivotField showAll="0"/>
    <pivotField showAll="0"/>
    <pivotField showAll="0"/>
    <pivotField showAll="0"/>
    <pivotField axis="axisRow" showAll="0">
      <items count="4">
        <item h="1" x="2"/>
        <item h="1" x="1"/>
        <item x="0"/>
        <item t="default"/>
      </items>
    </pivotField>
  </pivotFields>
  <rowFields count="1">
    <field x="8"/>
  </rowFields>
  <rowItems count="2">
    <i>
      <x v="2"/>
    </i>
    <i t="grand">
      <x/>
    </i>
  </rowItems>
  <colItems count="1">
    <i/>
  </colItems>
  <dataFields count="1">
    <dataField name="Count of  Product "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0F1AF8-5421-4839-B6D8-323CCF1A906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1" firstHeaderRow="1" firstDataRow="1" firstDataCol="1"/>
  <pivotFields count="9">
    <pivotField showAll="0">
      <items count="21">
        <item x="0"/>
        <item x="1"/>
        <item x="2"/>
        <item x="3"/>
        <item x="4"/>
        <item x="5"/>
        <item x="6"/>
        <item x="7"/>
        <item x="8"/>
        <item x="9"/>
        <item x="10"/>
        <item x="11"/>
        <item x="12"/>
        <item x="13"/>
        <item x="14"/>
        <item x="15"/>
        <item x="16"/>
        <item x="17"/>
        <item x="18"/>
        <item x="19"/>
        <item t="default"/>
      </items>
    </pivotField>
    <pivotField showAll="0">
      <items count="12">
        <item x="0"/>
        <item x="1"/>
        <item x="2"/>
        <item x="3"/>
        <item x="4"/>
        <item x="5"/>
        <item x="6"/>
        <item x="7"/>
        <item x="8"/>
        <item x="9"/>
        <item x="10"/>
        <item t="default"/>
      </items>
    </pivotField>
    <pivotField showAll="0"/>
    <pivotField showAll="0">
      <items count="7">
        <item x="2"/>
        <item x="1"/>
        <item x="3"/>
        <item x="0"/>
        <item x="4"/>
        <item x="5"/>
        <item t="default"/>
      </items>
    </pivotField>
    <pivotField dataField="1" showAll="0"/>
    <pivotField showAll="0"/>
    <pivotField showAll="0"/>
    <pivotField showAll="0"/>
    <pivotField axis="axisRow" showAll="0">
      <items count="4">
        <item h="1" x="2"/>
        <item h="1" x="1"/>
        <item x="0"/>
        <item t="default"/>
      </items>
    </pivotField>
  </pivotFields>
  <rowFields count="1">
    <field x="8"/>
  </rowFields>
  <rowItems count="2">
    <i>
      <x v="2"/>
    </i>
    <i t="grand">
      <x/>
    </i>
  </rowItems>
  <colItems count="1">
    <i/>
  </colItems>
  <dataFields count="1">
    <dataField name="Sum of  Quantity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C0B767-6F60-4ED0-8D5B-B27D4967E58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1" firstHeaderRow="1" firstDataRow="1" firstDataCol="1"/>
  <pivotFields count="9">
    <pivotField showAll="0">
      <items count="21">
        <item x="0"/>
        <item x="1"/>
        <item x="2"/>
        <item x="3"/>
        <item x="4"/>
        <item x="5"/>
        <item x="6"/>
        <item x="7"/>
        <item x="8"/>
        <item x="9"/>
        <item x="10"/>
        <item x="11"/>
        <item x="12"/>
        <item x="13"/>
        <item x="14"/>
        <item x="15"/>
        <item x="16"/>
        <item x="17"/>
        <item x="18"/>
        <item x="19"/>
        <item t="default"/>
      </items>
    </pivotField>
    <pivotField showAll="0">
      <items count="12">
        <item x="0"/>
        <item x="1"/>
        <item x="2"/>
        <item x="3"/>
        <item x="4"/>
        <item x="5"/>
        <item x="6"/>
        <item x="7"/>
        <item x="8"/>
        <item x="9"/>
        <item x="10"/>
        <item t="default"/>
      </items>
    </pivotField>
    <pivotField showAll="0"/>
    <pivotField showAll="0">
      <items count="7">
        <item x="2"/>
        <item x="1"/>
        <item x="3"/>
        <item x="0"/>
        <item x="4"/>
        <item x="5"/>
        <item t="default"/>
      </items>
    </pivotField>
    <pivotField showAll="0"/>
    <pivotField showAll="0"/>
    <pivotField dataField="1" showAll="0"/>
    <pivotField showAll="0"/>
    <pivotField axis="axisRow" showAll="0">
      <items count="4">
        <item h="1" x="2"/>
        <item h="1" x="1"/>
        <item x="0"/>
        <item t="default"/>
      </items>
    </pivotField>
  </pivotFields>
  <rowFields count="1">
    <field x="8"/>
  </rowFields>
  <rowItems count="2">
    <i>
      <x v="2"/>
    </i>
    <i t="grand">
      <x/>
    </i>
  </rowItems>
  <colItems count="1">
    <i/>
  </colItems>
  <dataFields count="1">
    <dataField name="Sum of  Total_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F269C85-FBD0-4337-A20B-EBC21F97F642}" sourceName=" City">
  <pivotTables>
    <pivotTable tabId="3" name="PivotTable1"/>
    <pivotTable tabId="3" name="PivotTable7"/>
    <pivotTable tabId="3" name="PivotTable8"/>
    <pivotTable tabId="3" name="PivotTable9"/>
    <pivotTable tabId="3" name="PivotTable10"/>
  </pivotTables>
  <data>
    <tabular pivotCacheId="1476862042">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ity" xr10:uid="{1FABF8E2-6629-4D91-9673-659BB4E688A8}" cache="Slicer_City" showCaption="0" rowHeight="241300"/>
  <slicer name=" City 1" xr10:uid="{1B5D1534-8F95-4FF9-AD3D-BAC37CFF0946}" cache="Slicer_City" caption=" 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ity 2" xr10:uid="{3C858ADB-55EA-4B12-88E8-DFD99ACFFFBE}" cache="Slicer_City" caption=" City" showCaption="0" style="SlicerStyleDark1" rowHeight="10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CAABDE-BC93-4B29-B03E-FD5E2BFFF7CB}" name="Table1" displayName="Table1" ref="A1:I21" totalsRowShown="0" headerRowDxfId="20" dataDxfId="19">
  <autoFilter ref="A1:I21" xr:uid="{6ACAABDE-BC93-4B29-B03E-FD5E2BFFF7CB}"/>
  <tableColumns count="9">
    <tableColumn id="1" xr3:uid="{E7D4124C-AFD2-428E-BCB0-1B3806B2FF0C}" name="Order_ID " dataDxfId="18"/>
    <tableColumn id="2" xr3:uid="{3D3A8A4F-FD22-4743-9E9A-3D21FE69B93C}" name=" Date " dataDxfId="17"/>
    <tableColumn id="3" xr3:uid="{67A41BCA-BEB7-48D7-A1FB-AC5A608961C7}" name=" Product " dataDxfId="16"/>
    <tableColumn id="4" xr3:uid="{FCA73E61-5B79-4932-97F6-61D37FE43266}" name=" Category " dataDxfId="15"/>
    <tableColumn id="5" xr3:uid="{5A7D4921-CEC2-4FB3-B312-6DD25C3276B3}" name=" Quantity " dataDxfId="14"/>
    <tableColumn id="6" xr3:uid="{2B947E8E-7369-4C5B-83F7-E00B0B173DFF}" name=" Price " dataDxfId="13"/>
    <tableColumn id="7" xr3:uid="{A6E91064-35A1-4140-B944-5D9046E8ECE3}" name=" Total_Sales " dataDxfId="12">
      <calculatedColumnFormula>Table1[[#This Row],[ Price ]]*Table1[[#This Row],[ Quantity ]]</calculatedColumnFormula>
    </tableColumn>
    <tableColumn id="8" xr3:uid="{BFC3171E-53D3-4531-933B-E08C44DE8B2E}" name=" Payment_Mode " dataDxfId="11"/>
    <tableColumn id="9" xr3:uid="{0B5FE069-29DB-44A2-BFE2-F8FEEF792260}" name=" City" dataDxfId="1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Arial-Times New Roman">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4.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workbookViewId="0">
      <selection activeCell="G12" sqref="G12"/>
    </sheetView>
  </sheetViews>
  <sheetFormatPr defaultRowHeight="14" x14ac:dyDescent="0.3"/>
  <cols>
    <col min="1" max="1" width="10.90625" customWidth="1"/>
    <col min="2" max="2" width="11.90625" customWidth="1"/>
    <col min="3" max="3" width="11.6328125" customWidth="1"/>
    <col min="4" max="4" width="11.26953125" customWidth="1"/>
    <col min="5" max="5" width="11" customWidth="1"/>
    <col min="7" max="7" width="15.90625" customWidth="1"/>
    <col min="8" max="8" width="17" customWidth="1"/>
    <col min="9" max="9" width="10.36328125" customWidth="1"/>
    <col min="11" max="11" width="10.26953125" customWidth="1"/>
  </cols>
  <sheetData>
    <row r="1" spans="1:12" x14ac:dyDescent="0.3">
      <c r="A1" s="1" t="s">
        <v>0</v>
      </c>
      <c r="B1" s="1" t="s">
        <v>1</v>
      </c>
      <c r="C1" s="1" t="s">
        <v>2</v>
      </c>
      <c r="D1" s="1" t="s">
        <v>3</v>
      </c>
      <c r="E1" s="1" t="s">
        <v>4</v>
      </c>
      <c r="F1" s="1" t="s">
        <v>5</v>
      </c>
      <c r="G1" s="1" t="s">
        <v>6</v>
      </c>
      <c r="H1" s="1" t="s">
        <v>7</v>
      </c>
      <c r="I1" s="1" t="s">
        <v>8</v>
      </c>
    </row>
    <row r="2" spans="1:12" x14ac:dyDescent="0.3">
      <c r="A2" s="1" t="s">
        <v>9</v>
      </c>
      <c r="B2" s="1" t="s">
        <v>10</v>
      </c>
      <c r="C2" s="1" t="s">
        <v>11</v>
      </c>
      <c r="D2" s="1" t="s">
        <v>12</v>
      </c>
      <c r="E2" s="1">
        <v>2</v>
      </c>
      <c r="F2" s="1">
        <v>1200</v>
      </c>
      <c r="G2" s="1">
        <f>Table1[[#This Row],[ Price ]]*Table1[[#This Row],[ Quantity ]]</f>
        <v>2400</v>
      </c>
      <c r="H2" s="1" t="s">
        <v>13</v>
      </c>
      <c r="I2" s="1" t="s">
        <v>14</v>
      </c>
    </row>
    <row r="3" spans="1:12" x14ac:dyDescent="0.3">
      <c r="A3" s="1" t="s">
        <v>15</v>
      </c>
      <c r="B3" s="1" t="s">
        <v>16</v>
      </c>
      <c r="C3" s="1" t="s">
        <v>17</v>
      </c>
      <c r="D3" s="1" t="s">
        <v>18</v>
      </c>
      <c r="E3" s="1">
        <v>5</v>
      </c>
      <c r="F3" s="1">
        <v>40</v>
      </c>
      <c r="G3" s="1">
        <f>Table1[[#This Row],[ Price ]]*Table1[[#This Row],[ Quantity ]]</f>
        <v>200</v>
      </c>
      <c r="H3" s="1" t="s">
        <v>19</v>
      </c>
      <c r="I3" s="1" t="s">
        <v>14</v>
      </c>
      <c r="L3" t="s">
        <v>72</v>
      </c>
    </row>
    <row r="4" spans="1:12" x14ac:dyDescent="0.3">
      <c r="A4" s="1" t="s">
        <v>20</v>
      </c>
      <c r="B4" s="1" t="s">
        <v>16</v>
      </c>
      <c r="C4" s="1" t="s">
        <v>21</v>
      </c>
      <c r="D4" s="1" t="s">
        <v>22</v>
      </c>
      <c r="E4" s="1">
        <v>3</v>
      </c>
      <c r="F4" s="1">
        <v>50</v>
      </c>
      <c r="G4" s="1">
        <f>Table1[[#This Row],[ Price ]]*Table1[[#This Row],[ Quantity ]]</f>
        <v>150</v>
      </c>
      <c r="H4" s="1" t="s">
        <v>23</v>
      </c>
      <c r="I4" s="1" t="s">
        <v>24</v>
      </c>
    </row>
    <row r="5" spans="1:12" x14ac:dyDescent="0.3">
      <c r="A5" s="1" t="s">
        <v>25</v>
      </c>
      <c r="B5" s="1" t="s">
        <v>26</v>
      </c>
      <c r="C5" s="1" t="s">
        <v>27</v>
      </c>
      <c r="D5" s="1" t="s">
        <v>28</v>
      </c>
      <c r="E5" s="1">
        <v>4</v>
      </c>
      <c r="F5" s="1">
        <v>150</v>
      </c>
      <c r="G5" s="1">
        <f>Table1[[#This Row],[ Price ]]*Table1[[#This Row],[ Quantity ]]</f>
        <v>600</v>
      </c>
      <c r="H5" s="1" t="s">
        <v>13</v>
      </c>
      <c r="I5" s="1" t="s">
        <v>29</v>
      </c>
    </row>
    <row r="6" spans="1:12" x14ac:dyDescent="0.3">
      <c r="A6" s="1" t="s">
        <v>30</v>
      </c>
      <c r="B6" s="1" t="s">
        <v>26</v>
      </c>
      <c r="C6" s="1" t="s">
        <v>31</v>
      </c>
      <c r="D6" s="1" t="s">
        <v>32</v>
      </c>
      <c r="E6" s="1">
        <v>6</v>
      </c>
      <c r="F6" s="1">
        <v>35</v>
      </c>
      <c r="G6" s="1">
        <f>Table1[[#This Row],[ Price ]]*Table1[[#This Row],[ Quantity ]]</f>
        <v>210</v>
      </c>
      <c r="H6" s="1" t="s">
        <v>19</v>
      </c>
      <c r="I6" s="1" t="s">
        <v>14</v>
      </c>
    </row>
    <row r="7" spans="1:12" x14ac:dyDescent="0.3">
      <c r="A7" s="1" t="s">
        <v>33</v>
      </c>
      <c r="B7" s="1" t="s">
        <v>34</v>
      </c>
      <c r="C7" s="1" t="s">
        <v>35</v>
      </c>
      <c r="D7" s="1" t="s">
        <v>32</v>
      </c>
      <c r="E7" s="1">
        <v>2</v>
      </c>
      <c r="F7" s="1">
        <v>180</v>
      </c>
      <c r="G7" s="1">
        <f>Table1[[#This Row],[ Price ]]*Table1[[#This Row],[ Quantity ]]</f>
        <v>360</v>
      </c>
      <c r="H7" s="1" t="s">
        <v>23</v>
      </c>
      <c r="I7" s="1" t="s">
        <v>24</v>
      </c>
    </row>
    <row r="8" spans="1:12" x14ac:dyDescent="0.3">
      <c r="A8" s="1" t="s">
        <v>36</v>
      </c>
      <c r="B8" s="1" t="s">
        <v>37</v>
      </c>
      <c r="C8" s="1" t="s">
        <v>38</v>
      </c>
      <c r="D8" s="1" t="s">
        <v>39</v>
      </c>
      <c r="E8" s="1">
        <v>3</v>
      </c>
      <c r="F8" s="1">
        <v>40</v>
      </c>
      <c r="G8" s="1">
        <f>Table1[[#This Row],[ Price ]]*Table1[[#This Row],[ Quantity ]]</f>
        <v>120</v>
      </c>
      <c r="H8" s="1" t="s">
        <v>13</v>
      </c>
      <c r="I8" s="1" t="s">
        <v>29</v>
      </c>
      <c r="K8" s="2" t="e">
        <f>SUM(Table1 #REF! )</f>
        <v>#NAME?</v>
      </c>
    </row>
    <row r="9" spans="1:12" x14ac:dyDescent="0.3">
      <c r="A9" s="1" t="s">
        <v>40</v>
      </c>
      <c r="B9" s="1" t="s">
        <v>37</v>
      </c>
      <c r="C9" s="1" t="s">
        <v>41</v>
      </c>
      <c r="D9" s="1" t="s">
        <v>18</v>
      </c>
      <c r="E9" s="1">
        <v>1</v>
      </c>
      <c r="F9" s="1">
        <v>250</v>
      </c>
      <c r="G9" s="1">
        <f>Table1[[#This Row],[ Price ]]*Table1[[#This Row],[ Quantity ]]</f>
        <v>250</v>
      </c>
      <c r="H9" s="1" t="s">
        <v>23</v>
      </c>
      <c r="I9" s="1" t="s">
        <v>14</v>
      </c>
    </row>
    <row r="10" spans="1:12" x14ac:dyDescent="0.3">
      <c r="A10" s="1" t="s">
        <v>42</v>
      </c>
      <c r="B10" s="1" t="s">
        <v>43</v>
      </c>
      <c r="C10" s="1" t="s">
        <v>44</v>
      </c>
      <c r="D10" s="1" t="s">
        <v>22</v>
      </c>
      <c r="E10" s="1">
        <v>5</v>
      </c>
      <c r="F10" s="1">
        <v>30</v>
      </c>
      <c r="G10" s="1">
        <f>Table1[[#This Row],[ Price ]]*Table1[[#This Row],[ Quantity ]]</f>
        <v>150</v>
      </c>
      <c r="H10" s="1" t="s">
        <v>19</v>
      </c>
      <c r="I10" s="1" t="s">
        <v>24</v>
      </c>
    </row>
    <row r="11" spans="1:12" x14ac:dyDescent="0.3">
      <c r="A11" s="1" t="s">
        <v>45</v>
      </c>
      <c r="B11" s="1" t="s">
        <v>43</v>
      </c>
      <c r="C11" s="1" t="s">
        <v>46</v>
      </c>
      <c r="D11" s="1" t="s">
        <v>28</v>
      </c>
      <c r="E11" s="1">
        <v>6</v>
      </c>
      <c r="F11" s="1">
        <v>60</v>
      </c>
      <c r="G11" s="1">
        <f>Table1[[#This Row],[ Price ]]*Table1[[#This Row],[ Quantity ]]</f>
        <v>360</v>
      </c>
      <c r="H11" s="1" t="s">
        <v>13</v>
      </c>
      <c r="I11" s="1" t="s">
        <v>14</v>
      </c>
    </row>
    <row r="12" spans="1:12" x14ac:dyDescent="0.3">
      <c r="A12" s="1" t="s">
        <v>47</v>
      </c>
      <c r="B12" s="1" t="s">
        <v>48</v>
      </c>
      <c r="C12" s="1" t="s">
        <v>49</v>
      </c>
      <c r="D12" s="1" t="s">
        <v>12</v>
      </c>
      <c r="E12" s="1">
        <v>2</v>
      </c>
      <c r="F12" s="1">
        <v>90</v>
      </c>
      <c r="G12" s="1">
        <f>Table1[[#This Row],[ Price ]]*Table1[[#This Row],[ Quantity ]]</f>
        <v>180</v>
      </c>
      <c r="H12" s="1" t="s">
        <v>19</v>
      </c>
      <c r="I12" s="1" t="s">
        <v>29</v>
      </c>
    </row>
    <row r="13" spans="1:12" x14ac:dyDescent="0.3">
      <c r="A13" s="1" t="s">
        <v>50</v>
      </c>
      <c r="B13" s="1" t="s">
        <v>48</v>
      </c>
      <c r="C13" s="1" t="s">
        <v>51</v>
      </c>
      <c r="D13" s="1" t="s">
        <v>18</v>
      </c>
      <c r="E13" s="1">
        <v>1</v>
      </c>
      <c r="F13" s="1">
        <v>220</v>
      </c>
      <c r="G13" s="1">
        <f>Table1[[#This Row],[ Price ]]*Table1[[#This Row],[ Quantity ]]</f>
        <v>220</v>
      </c>
      <c r="H13" s="1" t="s">
        <v>23</v>
      </c>
      <c r="I13" s="1" t="s">
        <v>24</v>
      </c>
    </row>
    <row r="14" spans="1:12" x14ac:dyDescent="0.3">
      <c r="A14" s="1" t="s">
        <v>52</v>
      </c>
      <c r="B14" s="1" t="s">
        <v>53</v>
      </c>
      <c r="C14" s="1" t="s">
        <v>54</v>
      </c>
      <c r="D14" s="1" t="s">
        <v>32</v>
      </c>
      <c r="E14" s="1">
        <v>2</v>
      </c>
      <c r="F14" s="1">
        <v>150</v>
      </c>
      <c r="G14" s="1">
        <f>Table1[[#This Row],[ Price ]]*Table1[[#This Row],[ Quantity ]]</f>
        <v>300</v>
      </c>
      <c r="H14" s="1" t="s">
        <v>13</v>
      </c>
      <c r="I14" s="1" t="s">
        <v>14</v>
      </c>
    </row>
    <row r="15" spans="1:12" x14ac:dyDescent="0.3">
      <c r="A15" s="1" t="s">
        <v>55</v>
      </c>
      <c r="B15" s="1" t="s">
        <v>53</v>
      </c>
      <c r="C15" s="1" t="s">
        <v>56</v>
      </c>
      <c r="D15" s="1" t="s">
        <v>39</v>
      </c>
      <c r="E15" s="1">
        <v>4</v>
      </c>
      <c r="F15" s="1">
        <v>35</v>
      </c>
      <c r="G15" s="1">
        <f>Table1[[#This Row],[ Price ]]*Table1[[#This Row],[ Quantity ]]</f>
        <v>140</v>
      </c>
      <c r="H15" s="1" t="s">
        <v>19</v>
      </c>
      <c r="I15" s="1" t="s">
        <v>29</v>
      </c>
    </row>
    <row r="16" spans="1:12" x14ac:dyDescent="0.3">
      <c r="A16" s="1" t="s">
        <v>57</v>
      </c>
      <c r="B16" s="1" t="s">
        <v>58</v>
      </c>
      <c r="C16" s="1" t="s">
        <v>59</v>
      </c>
      <c r="D16" s="1" t="s">
        <v>22</v>
      </c>
      <c r="E16" s="1">
        <v>1</v>
      </c>
      <c r="F16" s="1">
        <v>400</v>
      </c>
      <c r="G16" s="1">
        <f>Table1[[#This Row],[ Price ]]*Table1[[#This Row],[ Quantity ]]</f>
        <v>400</v>
      </c>
      <c r="H16" s="1" t="s">
        <v>23</v>
      </c>
      <c r="I16" s="1" t="s">
        <v>14</v>
      </c>
    </row>
    <row r="17" spans="1:9" x14ac:dyDescent="0.3">
      <c r="A17" s="1" t="s">
        <v>60</v>
      </c>
      <c r="B17" s="1" t="s">
        <v>58</v>
      </c>
      <c r="C17" s="1" t="s">
        <v>61</v>
      </c>
      <c r="D17" s="1" t="s">
        <v>28</v>
      </c>
      <c r="E17" s="1">
        <v>5</v>
      </c>
      <c r="F17" s="1">
        <v>80</v>
      </c>
      <c r="G17" s="1">
        <f>Table1[[#This Row],[ Price ]]*Table1[[#This Row],[ Quantity ]]</f>
        <v>400</v>
      </c>
      <c r="H17" s="1" t="s">
        <v>13</v>
      </c>
      <c r="I17" s="1" t="s">
        <v>24</v>
      </c>
    </row>
    <row r="18" spans="1:9" x14ac:dyDescent="0.3">
      <c r="A18" s="1" t="s">
        <v>62</v>
      </c>
      <c r="B18" s="1" t="s">
        <v>63</v>
      </c>
      <c r="C18" s="1" t="s">
        <v>64</v>
      </c>
      <c r="D18" s="1" t="s">
        <v>32</v>
      </c>
      <c r="E18" s="1">
        <v>3</v>
      </c>
      <c r="F18" s="1">
        <v>90</v>
      </c>
      <c r="G18" s="1">
        <f>Table1[[#This Row],[ Price ]]*Table1[[#This Row],[ Quantity ]]</f>
        <v>270</v>
      </c>
      <c r="H18" s="1" t="s">
        <v>19</v>
      </c>
      <c r="I18" s="1" t="s">
        <v>29</v>
      </c>
    </row>
    <row r="19" spans="1:9" x14ac:dyDescent="0.3">
      <c r="A19" s="1" t="s">
        <v>65</v>
      </c>
      <c r="B19" s="1" t="s">
        <v>63</v>
      </c>
      <c r="C19" s="1" t="s">
        <v>66</v>
      </c>
      <c r="D19" s="1" t="s">
        <v>18</v>
      </c>
      <c r="E19" s="1">
        <v>2</v>
      </c>
      <c r="F19" s="1">
        <v>60</v>
      </c>
      <c r="G19" s="1">
        <f>Table1[[#This Row],[ Price ]]*Table1[[#This Row],[ Quantity ]]</f>
        <v>120</v>
      </c>
      <c r="H19" s="1" t="s">
        <v>13</v>
      </c>
      <c r="I19" s="1" t="s">
        <v>14</v>
      </c>
    </row>
    <row r="20" spans="1:9" x14ac:dyDescent="0.3">
      <c r="A20" s="1" t="s">
        <v>67</v>
      </c>
      <c r="B20" s="1" t="s">
        <v>68</v>
      </c>
      <c r="C20" s="1" t="s">
        <v>69</v>
      </c>
      <c r="D20" s="1" t="s">
        <v>12</v>
      </c>
      <c r="E20" s="1">
        <v>1</v>
      </c>
      <c r="F20" s="1">
        <v>600</v>
      </c>
      <c r="G20" s="1">
        <f>Table1[[#This Row],[ Price ]]*Table1[[#This Row],[ Quantity ]]</f>
        <v>600</v>
      </c>
      <c r="H20" s="1" t="s">
        <v>23</v>
      </c>
      <c r="I20" s="1" t="s">
        <v>24</v>
      </c>
    </row>
    <row r="21" spans="1:9" x14ac:dyDescent="0.3">
      <c r="A21" s="1" t="s">
        <v>70</v>
      </c>
      <c r="B21" s="1" t="s">
        <v>68</v>
      </c>
      <c r="C21" s="1" t="s">
        <v>71</v>
      </c>
      <c r="D21" s="1" t="s">
        <v>39</v>
      </c>
      <c r="E21" s="1">
        <v>5</v>
      </c>
      <c r="F21" s="1">
        <v>30</v>
      </c>
      <c r="G21" s="1">
        <f>Table1[[#This Row],[ Price ]]*Table1[[#This Row],[ Quantity ]]</f>
        <v>150</v>
      </c>
      <c r="H21" s="1" t="s">
        <v>19</v>
      </c>
      <c r="I21" s="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37C6-5F1A-47D6-8EB9-D7E1DE357CBE}">
  <dimension ref="B6:I21"/>
  <sheetViews>
    <sheetView workbookViewId="0">
      <selection activeCell="D15" sqref="D15"/>
    </sheetView>
  </sheetViews>
  <sheetFormatPr defaultRowHeight="14" x14ac:dyDescent="0.3"/>
  <cols>
    <col min="2" max="2" width="13.1796875" bestFit="1" customWidth="1"/>
    <col min="3" max="3" width="18" bestFit="1" customWidth="1"/>
    <col min="4" max="4" width="18.54296875" bestFit="1" customWidth="1"/>
    <col min="5" max="5" width="13.1796875" bestFit="1" customWidth="1"/>
    <col min="6" max="6" width="11.453125" bestFit="1" customWidth="1"/>
    <col min="7" max="7" width="16" bestFit="1" customWidth="1"/>
    <col min="8" max="8" width="11.453125" bestFit="1" customWidth="1"/>
    <col min="9" max="9" width="18.54296875" bestFit="1" customWidth="1"/>
    <col min="10" max="10" width="12.6328125" customWidth="1"/>
    <col min="11" max="11" width="20" bestFit="1" customWidth="1"/>
    <col min="12" max="12" width="17.6328125" bestFit="1" customWidth="1"/>
    <col min="13" max="13" width="13.7265625" bestFit="1" customWidth="1"/>
    <col min="14" max="14" width="20" bestFit="1" customWidth="1"/>
  </cols>
  <sheetData>
    <row r="6" spans="3:9" x14ac:dyDescent="0.3">
      <c r="E6" s="3" t="s">
        <v>73</v>
      </c>
      <c r="F6" t="s">
        <v>75</v>
      </c>
      <c r="H6" s="3" t="s">
        <v>72</v>
      </c>
      <c r="I6" t="s">
        <v>75</v>
      </c>
    </row>
    <row r="7" spans="3:9" x14ac:dyDescent="0.3">
      <c r="C7" s="3" t="s">
        <v>73</v>
      </c>
      <c r="D7" t="s">
        <v>75</v>
      </c>
      <c r="E7" s="4" t="s">
        <v>27</v>
      </c>
      <c r="F7" s="7">
        <v>600</v>
      </c>
      <c r="H7" s="4" t="s">
        <v>29</v>
      </c>
      <c r="I7" s="7">
        <v>1310</v>
      </c>
    </row>
    <row r="8" spans="3:9" x14ac:dyDescent="0.3">
      <c r="C8" s="4" t="s">
        <v>28</v>
      </c>
      <c r="D8" s="7">
        <v>600</v>
      </c>
      <c r="E8" s="4" t="s">
        <v>56</v>
      </c>
      <c r="F8" s="7">
        <v>140</v>
      </c>
      <c r="H8" s="4" t="s">
        <v>74</v>
      </c>
      <c r="I8" s="7">
        <v>1310</v>
      </c>
    </row>
    <row r="9" spans="3:9" x14ac:dyDescent="0.3">
      <c r="C9" s="4" t="s">
        <v>12</v>
      </c>
      <c r="D9" s="7">
        <v>180</v>
      </c>
      <c r="E9" s="4" t="s">
        <v>49</v>
      </c>
      <c r="F9" s="7">
        <v>180</v>
      </c>
    </row>
    <row r="10" spans="3:9" x14ac:dyDescent="0.3">
      <c r="C10" s="4" t="s">
        <v>32</v>
      </c>
      <c r="D10" s="7">
        <v>270</v>
      </c>
      <c r="E10" s="4" t="s">
        <v>38</v>
      </c>
      <c r="F10" s="7">
        <v>120</v>
      </c>
    </row>
    <row r="11" spans="3:9" x14ac:dyDescent="0.3">
      <c r="C11" s="4" t="s">
        <v>39</v>
      </c>
      <c r="D11" s="7">
        <v>260</v>
      </c>
      <c r="E11" s="4" t="s">
        <v>64</v>
      </c>
      <c r="F11" s="7">
        <v>270</v>
      </c>
    </row>
    <row r="12" spans="3:9" x14ac:dyDescent="0.3">
      <c r="C12" s="4" t="s">
        <v>74</v>
      </c>
      <c r="D12" s="7">
        <v>1310</v>
      </c>
      <c r="E12" s="4" t="s">
        <v>74</v>
      </c>
      <c r="F12" s="7">
        <v>1310</v>
      </c>
    </row>
    <row r="15" spans="3:9" x14ac:dyDescent="0.3">
      <c r="F15" s="3" t="s">
        <v>72</v>
      </c>
      <c r="G15" t="s">
        <v>77</v>
      </c>
    </row>
    <row r="16" spans="3:9" x14ac:dyDescent="0.3">
      <c r="F16" s="4" t="s">
        <v>28</v>
      </c>
      <c r="G16" s="7">
        <v>4</v>
      </c>
      <c r="I16" s="5"/>
    </row>
    <row r="17" spans="2:9" x14ac:dyDescent="0.3">
      <c r="B17" s="3" t="s">
        <v>73</v>
      </c>
      <c r="C17" t="s">
        <v>76</v>
      </c>
      <c r="F17" s="4" t="s">
        <v>12</v>
      </c>
      <c r="G17" s="7">
        <v>2</v>
      </c>
    </row>
    <row r="18" spans="2:9" x14ac:dyDescent="0.3">
      <c r="B18" s="4" t="s">
        <v>13</v>
      </c>
      <c r="C18" s="7">
        <v>2</v>
      </c>
      <c r="F18" s="4" t="s">
        <v>32</v>
      </c>
      <c r="G18" s="7">
        <v>3</v>
      </c>
    </row>
    <row r="19" spans="2:9" x14ac:dyDescent="0.3">
      <c r="B19" s="4" t="s">
        <v>19</v>
      </c>
      <c r="C19" s="7">
        <v>3</v>
      </c>
      <c r="F19" s="4" t="s">
        <v>39</v>
      </c>
      <c r="G19" s="7">
        <v>7</v>
      </c>
    </row>
    <row r="20" spans="2:9" x14ac:dyDescent="0.3">
      <c r="B20" s="4" t="s">
        <v>74</v>
      </c>
      <c r="C20" s="7">
        <v>5</v>
      </c>
      <c r="F20" s="4" t="s">
        <v>74</v>
      </c>
      <c r="G20" s="7">
        <v>16</v>
      </c>
    </row>
    <row r="21" spans="2:9" x14ac:dyDescent="0.3">
      <c r="I21" t="s">
        <v>72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BEB0-4530-4D8E-BD0E-C526EF8F3BC0}">
  <dimension ref="A35:A38"/>
  <sheetViews>
    <sheetView tabSelected="1" topLeftCell="A13" zoomScale="36" zoomScaleNormal="36" workbookViewId="0">
      <selection activeCell="AK68" sqref="AK68"/>
    </sheetView>
  </sheetViews>
  <sheetFormatPr defaultRowHeight="14" x14ac:dyDescent="0.3"/>
  <sheetData>
    <row r="35" ht="4" customHeight="1" x14ac:dyDescent="0.3"/>
    <row r="36" hidden="1" x14ac:dyDescent="0.3"/>
    <row r="37" hidden="1" x14ac:dyDescent="0.3"/>
    <row r="38" hidden="1"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116A6-ED2A-43EC-9080-3780AFB166D3}">
  <dimension ref="A6:E27"/>
  <sheetViews>
    <sheetView workbookViewId="0"/>
  </sheetViews>
  <sheetFormatPr defaultRowHeight="14" x14ac:dyDescent="0.3"/>
  <cols>
    <col min="1" max="1" width="13.6328125" customWidth="1"/>
    <col min="2" max="2" width="16.1796875" customWidth="1"/>
    <col min="3" max="3" width="12.453125" customWidth="1"/>
    <col min="4" max="4" width="11.54296875" customWidth="1"/>
    <col min="5" max="5" width="15.1796875" customWidth="1"/>
    <col min="6" max="6" width="18.453125" customWidth="1"/>
  </cols>
  <sheetData>
    <row r="6" spans="1:5" x14ac:dyDescent="0.3">
      <c r="A6" s="6" t="s">
        <v>73</v>
      </c>
      <c r="B6" s="1" t="s">
        <v>75</v>
      </c>
      <c r="D6" s="6" t="s">
        <v>73</v>
      </c>
      <c r="E6" s="1" t="s">
        <v>75</v>
      </c>
    </row>
    <row r="7" spans="1:5" x14ac:dyDescent="0.3">
      <c r="A7" s="1" t="s">
        <v>27</v>
      </c>
      <c r="B7" s="1">
        <v>600</v>
      </c>
      <c r="D7" s="1" t="s">
        <v>22</v>
      </c>
      <c r="E7" s="1">
        <v>700</v>
      </c>
    </row>
    <row r="8" spans="1:5" x14ac:dyDescent="0.3">
      <c r="A8" s="1" t="s">
        <v>46</v>
      </c>
      <c r="B8" s="1">
        <v>360</v>
      </c>
      <c r="D8" s="1" t="s">
        <v>18</v>
      </c>
      <c r="E8" s="1">
        <v>790</v>
      </c>
    </row>
    <row r="9" spans="1:5" x14ac:dyDescent="0.3">
      <c r="A9" s="1" t="s">
        <v>44</v>
      </c>
      <c r="B9" s="1">
        <v>150</v>
      </c>
      <c r="D9" s="1" t="s">
        <v>28</v>
      </c>
      <c r="E9" s="1">
        <v>1360</v>
      </c>
    </row>
    <row r="10" spans="1:5" x14ac:dyDescent="0.3">
      <c r="A10" s="1" t="s">
        <v>21</v>
      </c>
      <c r="B10" s="1">
        <v>150</v>
      </c>
      <c r="D10" s="1" t="s">
        <v>12</v>
      </c>
      <c r="E10" s="1">
        <v>3180</v>
      </c>
    </row>
    <row r="11" spans="1:5" x14ac:dyDescent="0.3">
      <c r="A11" s="1" t="s">
        <v>51</v>
      </c>
      <c r="B11" s="1">
        <v>220</v>
      </c>
      <c r="D11" s="1" t="s">
        <v>32</v>
      </c>
      <c r="E11" s="1">
        <v>1140</v>
      </c>
    </row>
    <row r="12" spans="1:5" x14ac:dyDescent="0.3">
      <c r="A12" s="1" t="s">
        <v>59</v>
      </c>
      <c r="B12" s="1">
        <v>400</v>
      </c>
      <c r="D12" s="1" t="s">
        <v>39</v>
      </c>
      <c r="E12" s="1">
        <v>410</v>
      </c>
    </row>
    <row r="13" spans="1:5" x14ac:dyDescent="0.3">
      <c r="A13" s="1" t="s">
        <v>41</v>
      </c>
      <c r="B13" s="1">
        <v>250</v>
      </c>
      <c r="D13" s="1" t="s">
        <v>74</v>
      </c>
      <c r="E13" s="1">
        <v>7580</v>
      </c>
    </row>
    <row r="14" spans="1:5" x14ac:dyDescent="0.3">
      <c r="A14" s="1" t="s">
        <v>66</v>
      </c>
      <c r="B14" s="1">
        <v>120</v>
      </c>
    </row>
    <row r="15" spans="1:5" x14ac:dyDescent="0.3">
      <c r="A15" s="1" t="s">
        <v>54</v>
      </c>
      <c r="B15" s="1">
        <v>300</v>
      </c>
      <c r="D15" s="3" t="s">
        <v>73</v>
      </c>
      <c r="E15" t="s">
        <v>76</v>
      </c>
    </row>
    <row r="16" spans="1:5" x14ac:dyDescent="0.3">
      <c r="A16" s="1" t="s">
        <v>17</v>
      </c>
      <c r="B16" s="1">
        <v>200</v>
      </c>
      <c r="D16" s="4" t="s">
        <v>23</v>
      </c>
      <c r="E16">
        <v>6</v>
      </c>
    </row>
    <row r="17" spans="1:5" x14ac:dyDescent="0.3">
      <c r="A17" s="1" t="s">
        <v>56</v>
      </c>
      <c r="B17" s="1">
        <v>140</v>
      </c>
      <c r="D17" s="4" t="s">
        <v>13</v>
      </c>
      <c r="E17">
        <v>7</v>
      </c>
    </row>
    <row r="18" spans="1:5" x14ac:dyDescent="0.3">
      <c r="A18" s="1" t="s">
        <v>61</v>
      </c>
      <c r="B18" s="1">
        <v>400</v>
      </c>
      <c r="D18" s="4" t="s">
        <v>19</v>
      </c>
      <c r="E18">
        <v>7</v>
      </c>
    </row>
    <row r="19" spans="1:5" x14ac:dyDescent="0.3">
      <c r="A19" s="1" t="s">
        <v>71</v>
      </c>
      <c r="B19" s="1">
        <v>150</v>
      </c>
      <c r="D19" s="4" t="s">
        <v>74</v>
      </c>
      <c r="E19">
        <v>20</v>
      </c>
    </row>
    <row r="20" spans="1:5" x14ac:dyDescent="0.3">
      <c r="A20" s="1" t="s">
        <v>11</v>
      </c>
      <c r="B20" s="1">
        <v>2400</v>
      </c>
    </row>
    <row r="21" spans="1:5" x14ac:dyDescent="0.3">
      <c r="A21" s="1" t="s">
        <v>35</v>
      </c>
      <c r="B21" s="1">
        <v>360</v>
      </c>
    </row>
    <row r="22" spans="1:5" x14ac:dyDescent="0.3">
      <c r="A22" s="1" t="s">
        <v>31</v>
      </c>
      <c r="B22" s="1">
        <v>210</v>
      </c>
    </row>
    <row r="23" spans="1:5" x14ac:dyDescent="0.3">
      <c r="A23" s="1" t="s">
        <v>49</v>
      </c>
      <c r="B23" s="1">
        <v>180</v>
      </c>
    </row>
    <row r="24" spans="1:5" x14ac:dyDescent="0.3">
      <c r="A24" s="1" t="s">
        <v>38</v>
      </c>
      <c r="B24" s="1">
        <v>120</v>
      </c>
    </row>
    <row r="25" spans="1:5" x14ac:dyDescent="0.3">
      <c r="A25" s="1" t="s">
        <v>64</v>
      </c>
      <c r="B25" s="1">
        <v>270</v>
      </c>
    </row>
    <row r="26" spans="1:5" x14ac:dyDescent="0.3">
      <c r="A26" s="1" t="s">
        <v>69</v>
      </c>
      <c r="B26" s="1">
        <v>600</v>
      </c>
    </row>
    <row r="27" spans="1:5" x14ac:dyDescent="0.3">
      <c r="A27" s="1" t="s">
        <v>74</v>
      </c>
      <c r="B27" s="1">
        <v>7580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D377-1964-4B0B-AB36-14C649706B06}">
  <dimension ref="A9:K16"/>
  <sheetViews>
    <sheetView workbookViewId="0"/>
  </sheetViews>
  <sheetFormatPr defaultRowHeight="14" x14ac:dyDescent="0.3"/>
  <cols>
    <col min="1" max="1" width="11.90625" customWidth="1"/>
    <col min="2" max="2" width="17.1796875" customWidth="1"/>
    <col min="3" max="3" width="10.90625" customWidth="1"/>
    <col min="4" max="4" width="11.90625" customWidth="1"/>
    <col min="5" max="5" width="14.81640625" customWidth="1"/>
    <col min="6" max="6" width="8.7265625" customWidth="1"/>
    <col min="7" max="7" width="11.90625" customWidth="1"/>
    <col min="8" max="8" width="15.1796875" customWidth="1"/>
    <col min="9" max="9" width="3.54296875" customWidth="1"/>
    <col min="10" max="10" width="11.90625" customWidth="1"/>
    <col min="11" max="11" width="15.7265625" customWidth="1"/>
    <col min="12" max="12" width="6" customWidth="1"/>
    <col min="13" max="21" width="6.54296875" bestFit="1" customWidth="1"/>
    <col min="22" max="22" width="12" bestFit="1" customWidth="1"/>
  </cols>
  <sheetData>
    <row r="9" spans="1:11" x14ac:dyDescent="0.3">
      <c r="A9" s="3" t="s">
        <v>73</v>
      </c>
      <c r="B9" t="s">
        <v>75</v>
      </c>
      <c r="D9" s="3" t="s">
        <v>73</v>
      </c>
      <c r="E9" t="s">
        <v>77</v>
      </c>
      <c r="G9" s="3" t="s">
        <v>73</v>
      </c>
      <c r="H9" t="s">
        <v>78</v>
      </c>
      <c r="J9" s="3" t="s">
        <v>73</v>
      </c>
      <c r="K9" t="s">
        <v>76</v>
      </c>
    </row>
    <row r="10" spans="1:11" x14ac:dyDescent="0.3">
      <c r="A10" s="4" t="s">
        <v>14</v>
      </c>
      <c r="B10">
        <v>4390</v>
      </c>
      <c r="D10" s="4" t="s">
        <v>14</v>
      </c>
      <c r="E10">
        <v>30</v>
      </c>
      <c r="G10" s="4" t="s">
        <v>14</v>
      </c>
      <c r="H10">
        <v>9</v>
      </c>
      <c r="J10" s="4" t="s">
        <v>14</v>
      </c>
      <c r="K10">
        <v>9</v>
      </c>
    </row>
    <row r="11" spans="1:11" x14ac:dyDescent="0.3">
      <c r="A11" s="4" t="s">
        <v>74</v>
      </c>
      <c r="B11">
        <v>4390</v>
      </c>
      <c r="D11" s="4" t="s">
        <v>74</v>
      </c>
      <c r="E11">
        <v>30</v>
      </c>
      <c r="G11" s="4" t="s">
        <v>74</v>
      </c>
      <c r="H11">
        <v>9</v>
      </c>
      <c r="J11" s="4" t="s">
        <v>74</v>
      </c>
      <c r="K11">
        <v>9</v>
      </c>
    </row>
    <row r="16" spans="1:11" x14ac:dyDescent="0.3">
      <c r="D16" s="4" t="s">
        <v>72</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DUSBIN</vt:lpstr>
      <vt:lpstr>DASH BOARD</vt:lpstr>
      <vt:lpstr>SALES DETAILS</vt:lpstr>
      <vt:lpstr>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Jeevanantham</dc:creator>
  <cp:lastModifiedBy>Jeevanantham D</cp:lastModifiedBy>
  <dcterms:created xsi:type="dcterms:W3CDTF">2015-06-05T18:17:20Z</dcterms:created>
  <dcterms:modified xsi:type="dcterms:W3CDTF">2026-01-02T12:23:44Z</dcterms:modified>
</cp:coreProperties>
</file>